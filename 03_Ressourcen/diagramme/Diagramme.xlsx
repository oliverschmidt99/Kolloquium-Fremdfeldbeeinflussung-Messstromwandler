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-02-11T11-12_export_mit_500" sheetId="1" state="visible" r:id="rId3"/>
  </sheets>
  <definedNames>
    <definedName function="false" hidden="true" localSheetId="0" name="_xlnm._FilterDatabase" vbProcedure="false">'2026-02-11T11-12_export_mit_500'!$A$1:$AC$21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<sst xmlns="http://schemas.openxmlformats.org/spreadsheetml/2006/main" count="329" uniqueCount="112">
  <si>
    <t xml:space="preserve">final_legend</t>
  </si>
  <si>
    <t xml:space="preserve">hersteller</t>
  </si>
  <si>
    <t xml:space="preserve">modell</t>
  </si>
  <si>
    <t xml:space="preserve">geometrie</t>
  </si>
  <si>
    <t xml:space="preserve">nennstrom</t>
  </si>
  <si>
    <t xml:space="preserve">technologie</t>
  </si>
  <si>
    <t xml:space="preserve">Preis (€)</t>
  </si>
  <si>
    <t xml:space="preserve">volumen</t>
  </si>
  <si>
    <t xml:space="preserve">5% In_L1</t>
  </si>
  <si>
    <t xml:space="preserve">5% In_L2</t>
  </si>
  <si>
    <t xml:space="preserve">5% In_L3</t>
  </si>
  <si>
    <t xml:space="preserve">20% In_L1</t>
  </si>
  <si>
    <t xml:space="preserve">20% In_L2</t>
  </si>
  <si>
    <t xml:space="preserve">20% In_L3</t>
  </si>
  <si>
    <t xml:space="preserve">50% In_L1</t>
  </si>
  <si>
    <t xml:space="preserve">50% In_L2</t>
  </si>
  <si>
    <t xml:space="preserve">50% In_L3</t>
  </si>
  <si>
    <t xml:space="preserve">80% In_L1</t>
  </si>
  <si>
    <t xml:space="preserve">80% In_L2</t>
  </si>
  <si>
    <t xml:space="preserve">80% In_L3</t>
  </si>
  <si>
    <t xml:space="preserve">90% In_L1</t>
  </si>
  <si>
    <t xml:space="preserve">90% In_L2</t>
  </si>
  <si>
    <t xml:space="preserve">90% In_L3</t>
  </si>
  <si>
    <t xml:space="preserve">100% In_L1</t>
  </si>
  <si>
    <t xml:space="preserve">100% In_L2</t>
  </si>
  <si>
    <t xml:space="preserve">100% In_L3</t>
  </si>
  <si>
    <t xml:space="preserve">120% In_L1</t>
  </si>
  <si>
    <t xml:space="preserve">120% In_L2</t>
  </si>
  <si>
    <t xml:space="preserve">120% In_L3</t>
  </si>
  <si>
    <t xml:space="preserve">Nieder_L1</t>
  </si>
  <si>
    <t xml:space="preserve">Nieder_L2</t>
  </si>
  <si>
    <t xml:space="preserve">Nieder_L3</t>
  </si>
  <si>
    <t xml:space="preserve">Nenn_L1</t>
  </si>
  <si>
    <t xml:space="preserve">Nenn_L2</t>
  </si>
  <si>
    <t xml:space="preserve">Nenn_L3</t>
  </si>
  <si>
    <t xml:space="preserve">Ueber_L1</t>
  </si>
  <si>
    <t xml:space="preserve">Ueber_L2</t>
  </si>
  <si>
    <t xml:space="preserve">Ueber_L3</t>
  </si>
  <si>
    <t xml:space="preserve">Nieder_Ges</t>
  </si>
  <si>
    <t xml:space="preserve">Nenn_Ges</t>
  </si>
  <si>
    <t xml:space="preserve">Ueber_Ges</t>
  </si>
  <si>
    <t xml:space="preserve">Gesamtfehler</t>
  </si>
  <si>
    <t xml:space="preserve">Verbesserung Dreick</t>
  </si>
  <si>
    <t xml:space="preserve">Celsa 2025 12 05 1356-Celsa-ALO 10030-2000A-1R35  | Parallel</t>
  </si>
  <si>
    <t xml:space="preserve">Celsa</t>
  </si>
  <si>
    <t xml:space="preserve">ALO 10030</t>
  </si>
  <si>
    <t xml:space="preserve">Parallel</t>
  </si>
  <si>
    <t xml:space="preserve">Standard</t>
  </si>
  <si>
    <t xml:space="preserve">Celsa 2025 12 08 0856-Celsa-ALO 10030-2000A-1R35  | Dreieck</t>
  </si>
  <si>
    <t xml:space="preserve">Dreieck</t>
  </si>
  <si>
    <t xml:space="preserve">Celsa 2025 12 04 1506-Celsa-ALO 8030 K-2000A-8R1  | Parallel</t>
  </si>
  <si>
    <t xml:space="preserve">ALO 8030 K</t>
  </si>
  <si>
    <t xml:space="preserve">Kompensiert</t>
  </si>
  <si>
    <t xml:space="preserve">Celsa 2025 12 08 1026-Celsa-ALO 8030 K-2000A-8R1  | Dreieck</t>
  </si>
  <si>
    <t xml:space="preserve">MBS 2025 12 04 1415-MBS-ASK101.4-2000A-8R1  | Parallel </t>
  </si>
  <si>
    <t xml:space="preserve">MBS</t>
  </si>
  <si>
    <t xml:space="preserve">ASK101.4</t>
  </si>
  <si>
    <t xml:space="preserve">MBS 2025 12 08 1121-MBS-ASK101.4-2000A-8R1  | Dreieck</t>
  </si>
  <si>
    <t xml:space="preserve">Redur 2025 12 05 1020-Redur-13A1030.3ffp-2000A-8R1  | Parallel</t>
  </si>
  <si>
    <t xml:space="preserve">Redur</t>
  </si>
  <si>
    <t xml:space="preserve">13A1030.3ffp</t>
  </si>
  <si>
    <t xml:space="preserve">FFP</t>
  </si>
  <si>
    <t xml:space="preserve">Redur 2025 12 08 1219-Redur-13A1030.3ffp-2000A-8R1  | Dreieck</t>
  </si>
  <si>
    <t xml:space="preserve">Celsa 2025 12 11 0812-Celsa-ALO 10030-2500A-1R35  | Parallel</t>
  </si>
  <si>
    <t xml:space="preserve">Celsa 2025 12 09 1535-Celsa-ALO 10030-2500A-1R35  | Dreieck</t>
  </si>
  <si>
    <t xml:space="preserve">Celsa 2025 12 10 1533-Celsa-ALO 10050 K-2500A-2R8  | Parallel</t>
  </si>
  <si>
    <t xml:space="preserve">ALO 10050 K</t>
  </si>
  <si>
    <t xml:space="preserve">Celsa 2025 12 09 1332-Celsa-ALO 10050 K-2500A-2R8  | Dreieck</t>
  </si>
  <si>
    <t xml:space="preserve">Celsa 2025 12 10 1302-Celsa-ALO 12070-3000A-10R8  | Parallel</t>
  </si>
  <si>
    <t xml:space="preserve">ALO 12070</t>
  </si>
  <si>
    <t xml:space="preserve">Celsa 2025 12 09 1030-Celsa-ALO 12070-3000A-10R8  | Dreieck</t>
  </si>
  <si>
    <t xml:space="preserve">Celsa 2025 12 10 1122-Celsa-ALO 12070 K-3000A-10R8  | Parallel</t>
  </si>
  <si>
    <t xml:space="preserve">ALO 12070 K</t>
  </si>
  <si>
    <t xml:space="preserve">Celsa 2025 12 10 1009-Celsa-ALO 12070 K-3000A-10R8  | Dreieck</t>
  </si>
  <si>
    <t xml:space="preserve">Celsa 2025 12 16 1020-Celsa-ALO 12070-4000A-0R0  | Parallel</t>
  </si>
  <si>
    <t xml:space="preserve">Celsa 2025 12 16 1140-Celsa-ALO 12070-4000A-0R0  | Dreieck</t>
  </si>
  <si>
    <t xml:space="preserve">Celsa 2025 12 16 0812-Celsa-ALO 12070 K-4000A-0R0  | Parallel</t>
  </si>
  <si>
    <t xml:space="preserve">Celsa 2025 12 16 1315-Celsa-ALO 12070 K-4000A-0R0  | Dreieck</t>
  </si>
  <si>
    <t xml:space="preserve">mes_2000A</t>
  </si>
  <si>
    <t xml:space="preserve">Redur 13A1030.3ffp | 2000 A | 8,1 Ω | Parallel</t>
  </si>
  <si>
    <t xml:space="preserve">Referenzlast 8,1 Ω</t>
  </si>
  <si>
    <t xml:space="preserve">mes_2000A_buerde</t>
  </si>
  <si>
    <t xml:space="preserve">Redur 2025 12 05 1057-Redur-13A1030.3ffp-2000A-0R0 | PAC2 | Parallel (2000A)</t>
  </si>
  <si>
    <t xml:space="preserve">Minimallast 0,0 Ω</t>
  </si>
  <si>
    <t xml:space="preserve">Redur 13A1030.3ffp | 2000 A | 8,1 Ω | Dreieck</t>
  </si>
  <si>
    <t xml:space="preserve">Redur 2025 12 08 1305-Redur-13A1030.3ffp-2000A-0R0 | PAC2 | Dreieck (2000A)</t>
  </si>
  <si>
    <t xml:space="preserve">mes_2500A</t>
  </si>
  <si>
    <t xml:space="preserve">mes_3000A</t>
  </si>
  <si>
    <t xml:space="preserve">Celsa 2025 12 11 1000-Celsa-ALO 12070-3000A-0R0  | Parallel</t>
  </si>
  <si>
    <t xml:space="preserve">mes_gesamt</t>
  </si>
  <si>
    <t xml:space="preserve">Celsa ALO 12070 | 3000 A | Asymmetrische Last (L2 = 0 Ω)</t>
  </si>
  <si>
    <t xml:space="preserve">Asymmetrische Last (L2 = 0 Ω)</t>
  </si>
  <si>
    <t xml:space="preserve">mes_3000A_buerde</t>
  </si>
  <si>
    <t xml:space="preserve">Celsa ALO 12070 | 3000 A | Minimallast 0 Ω</t>
  </si>
  <si>
    <t xml:space="preserve">Minimallast 0 Ω</t>
  </si>
  <si>
    <t xml:space="preserve">Celsa ALO 12070 | 3000 A | Referenzlast 10,8 Ω</t>
  </si>
  <si>
    <t xml:space="preserve">Referenzlast 10,8 Ω</t>
  </si>
  <si>
    <t xml:space="preserve">K-3 | Celsa ICG 6000/5 Kl. 0,2S</t>
  </si>
  <si>
    <t xml:space="preserve">3-K Elektrik</t>
  </si>
  <si>
    <t xml:space="preserve">DMI30 05-V01</t>
  </si>
  <si>
    <t xml:space="preserve">Referenz</t>
  </si>
  <si>
    <t xml:space="preserve">Messumformer</t>
  </si>
  <si>
    <t xml:space="preserve">mes_messstrecke_alt</t>
  </si>
  <si>
    <t xml:space="preserve">mes_4000A</t>
  </si>
  <si>
    <t xml:space="preserve">Rogowski-Spulen | Kl. 0,2</t>
  </si>
  <si>
    <t xml:space="preserve">FASK-100</t>
  </si>
  <si>
    <t xml:space="preserve">Rogowskispule</t>
  </si>
  <si>
    <t xml:space="preserve">PAC 4220 | Celsa ICG 6000/5 Kl. 0,2S</t>
  </si>
  <si>
    <t xml:space="preserve">Siemens</t>
  </si>
  <si>
    <t xml:space="preserve">PAC 4220</t>
  </si>
  <si>
    <t xml:space="preserve">Energiemessgerät</t>
  </si>
  <si>
    <t xml:space="preserve">mes_messstrecke_neu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</si>
</sst>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sz val="10"/>
      <name val="Times New Roman"/>
      <family val="1"/>
      <charset val="1"/>
    </font>
  </fonts>
  <fills count="12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B85C00"/>
        <bgColor rgb="FFFF6600"/>
      </patternFill>
    </fill>
    <fill>
      <patternFill patternType="solid">
        <fgColor rgb="FF6D0202"/>
        <bgColor rgb="FF800000"/>
      </patternFill>
    </fill>
    <fill>
      <patternFill patternType="solid">
        <fgColor rgb="FF127622"/>
        <bgColor rgb="FF008080"/>
      </patternFill>
    </fill>
    <fill>
      <patternFill patternType="solid">
        <fgColor rgb="FFCCCCCC"/>
        <bgColor rgb="FFB4C7DC"/>
      </patternFill>
    </fill>
    <fill>
      <patternFill patternType="solid">
        <fgColor rgb="FFB4C7DC"/>
        <bgColor rgb="FFCCCCCC"/>
      </patternFill>
    </fill>
    <fill>
      <patternFill patternType="solid">
        <fgColor rgb="FFFFB66C"/>
        <bgColor rgb="FFEC9BA4"/>
      </patternFill>
    </fill>
    <fill>
      <patternFill patternType="solid">
        <fgColor rgb="FFEC9BA4"/>
        <bgColor rgb="FFFF8080"/>
      </patternFill>
    </fill>
    <fill>
      <patternFill patternType="solid">
        <fgColor rgb="FFAFD095"/>
        <bgColor rgb="FFCCCCCC"/>
      </patternFill>
    </fill>
    <fill>
      <patternFill patternType="solid">
        <fgColor rgb="FFB2B2B2"/>
        <bgColor rgb="FFB4C7D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1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D0202"/>
      <rgbColor rgb="FF127622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EC9BA4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B85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R30" activeCellId="0" sqref="AR30"/>
    </sheetView>
  </sheetViews>
  <sheetFormatPr defaultColWidth="11.53515625" defaultRowHeight="14.15" customHeight="true" zeroHeight="false" outlineLevelRow="0" outlineLevelCol="0"/>
  <cols>
    <col collapsed="false" customWidth="true" hidden="false" outlineLevel="0" max="1" min="1" style="1" width="55.27"/>
    <col collapsed="false" customWidth="true" hidden="false" outlineLevel="0" max="2" min="2" style="1" width="11.73"/>
    <col collapsed="false" customWidth="true" hidden="false" outlineLevel="0" max="3" min="3" style="1" width="12.42"/>
    <col collapsed="false" customWidth="true" hidden="false" outlineLevel="0" max="4" min="4" style="1" width="12.28"/>
    <col collapsed="false" customWidth="true" hidden="false" outlineLevel="0" max="5" min="5" style="1" width="12.84"/>
    <col collapsed="false" customWidth="true" hidden="false" outlineLevel="0" max="6" min="6" style="1" width="13.53"/>
    <col collapsed="false" customWidth="true" hidden="false" outlineLevel="0" max="8" min="7" style="1" width="11.17"/>
    <col collapsed="false" customWidth="true" hidden="false" outlineLevel="0" max="11" min="9" style="1" width="12.01"/>
    <col collapsed="false" customWidth="true" hidden="false" outlineLevel="0" max="23" min="12" style="1" width="12.98"/>
    <col collapsed="false" customWidth="true" hidden="false" outlineLevel="0" max="29" min="24" style="1" width="13.95"/>
    <col collapsed="false" customWidth="true" hidden="false" outlineLevel="0" max="32" min="30" style="1" width="9.64"/>
    <col collapsed="false" customWidth="true" hidden="false" outlineLevel="0" max="35" min="33" style="1" width="8.67"/>
    <col collapsed="false" customWidth="true" hidden="false" outlineLevel="0" max="38" min="36" style="1" width="9.22"/>
    <col collapsed="false" customWidth="true" hidden="false" outlineLevel="0" max="39" min="39" style="1" width="11.03"/>
    <col collapsed="false" customWidth="true" hidden="false" outlineLevel="0" max="40" min="40" style="1" width="10.06"/>
    <col collapsed="false" customWidth="true" hidden="false" outlineLevel="0" max="41" min="41" style="1" width="10.61"/>
    <col collapsed="false" customWidth="true" hidden="false" outlineLevel="0" max="42" min="42" style="1" width="8.39"/>
    <col collapsed="false" customWidth="true" hidden="false" outlineLevel="0" max="43" min="43" style="1" width="18.41"/>
    <col collapsed="false" customWidth="false" hidden="false" outlineLevel="0" max="50" min="44" style="1" width="11.53"/>
  </cols>
  <sheetData>
    <row r="1" customFormat="false" ht="14.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0"/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3" t="s">
        <v>29</v>
      </c>
      <c r="AF1" s="3" t="s">
        <v>30</v>
      </c>
      <c r="AG1" s="3" t="s">
        <v>31</v>
      </c>
      <c r="AH1" s="4" t="s">
        <v>32</v>
      </c>
      <c r="AI1" s="4" t="s">
        <v>33</v>
      </c>
      <c r="AJ1" s="4" t="s">
        <v>34</v>
      </c>
      <c r="AK1" s="5" t="s">
        <v>35</v>
      </c>
      <c r="AL1" s="5" t="s">
        <v>36</v>
      </c>
      <c r="AM1" s="5" t="s">
        <v>37</v>
      </c>
      <c r="AN1" s="3" t="s">
        <v>38</v>
      </c>
      <c r="AO1" s="4" t="s">
        <v>39</v>
      </c>
      <c r="AP1" s="5" t="s">
        <v>40</v>
      </c>
      <c r="AQ1" s="6" t="s">
        <v>41</v>
      </c>
      <c r="AR1" s="7" t="s">
        <v>42</v>
      </c>
      <c r="BC1" s="7"/>
    </row>
    <row r="2" customFormat="false" ht="14.15" hidden="false" customHeight="tru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n">
        <v>2000</v>
      </c>
      <c r="F2" s="1" t="s">
        <v>47</v>
      </c>
      <c r="G2" s="1" t="n">
        <v>45.5</v>
      </c>
      <c r="H2" s="0"/>
      <c r="I2" s="1" t="n">
        <v>634291</v>
      </c>
      <c r="J2" s="1" t="n">
        <v>0.196</v>
      </c>
      <c r="K2" s="1" t="n">
        <v>0.201</v>
      </c>
      <c r="L2" s="1" t="n">
        <v>0.401</v>
      </c>
      <c r="M2" s="1" t="n">
        <v>-0.068</v>
      </c>
      <c r="N2" s="1" t="n">
        <v>-0.014</v>
      </c>
      <c r="O2" s="1" t="n">
        <v>0.083</v>
      </c>
      <c r="Y2" s="1" t="n">
        <v>-0.477</v>
      </c>
      <c r="Z2" s="1" t="n">
        <v>-1.971</v>
      </c>
      <c r="AA2" s="1" t="n">
        <v>-0.427</v>
      </c>
      <c r="AB2" s="1" t="n">
        <v>-2.671</v>
      </c>
      <c r="AC2" s="1" t="n">
        <v>-4.24</v>
      </c>
      <c r="AD2" s="1" t="n">
        <v>-3.071</v>
      </c>
      <c r="AE2" s="8" t="n">
        <f aca="false">IFERROR(AVERAGE(J2,M2,P2), "Fehler")</f>
        <v>0.064</v>
      </c>
      <c r="AF2" s="8" t="n">
        <f aca="false">IFERROR(AVERAGE(K2,N2,Q2), "Fehler")</f>
        <v>0.0935</v>
      </c>
      <c r="AG2" s="8" t="n">
        <f aca="false">IFERROR(AVERAGE(L2,O2,R2), "Fehler")</f>
        <v>0.242</v>
      </c>
      <c r="AH2" s="9" t="n">
        <f aca="false">IFERROR(AVERAGE(S2,V2,Y2), "Fehler")</f>
        <v>-0.477</v>
      </c>
      <c r="AI2" s="9" t="n">
        <f aca="false">IFERROR(AVERAGE(T2,W2,Z2), "Fehler")</f>
        <v>-1.971</v>
      </c>
      <c r="AJ2" s="9" t="n">
        <f aca="false">IFERROR(AVERAGE(U2,X2,AA2), "Fehler")</f>
        <v>-0.427</v>
      </c>
      <c r="AK2" s="10" t="n">
        <f aca="false">IFERROR(AVERAGE(AB2), "Fehler")</f>
        <v>-2.671</v>
      </c>
      <c r="AL2" s="10" t="n">
        <f aca="false">IFERROR(AVERAGE(AC2), "Fehler")</f>
        <v>-4.24</v>
      </c>
      <c r="AM2" s="10" t="n">
        <f aca="false">IFERROR(AVERAGE(AD2), "Fehler")</f>
        <v>-3.071</v>
      </c>
      <c r="AN2" s="8" t="n">
        <f aca="false">SUMPRODUCT(                            ABS(AE2:AG2)) / COUNT(AE2:AG2)</f>
        <v>0.133166666666667</v>
      </c>
      <c r="AO2" s="9" t="n">
        <f aca="false">SUMPRODUCT(                            ABS(AH2:AJ2)) / COUNT(AH2:AJ2)</f>
        <v>0.958333333333333</v>
      </c>
      <c r="AP2" s="10" t="n">
        <f aca="false">SUMPRODUCT(                            ABS(AK2:AM2)) / COUNT(AK2:AM2)</f>
        <v>3.32733333333333</v>
      </c>
      <c r="AQ2" s="11" t="n">
        <f aca="false">SUMPRODUCT(ABS(AN2:AP2)) / COUNT(AN2:AP2)</f>
        <v>1.47294444444444</v>
      </c>
      <c r="AR2" s="12" t="n">
        <f aca="false">(1-  AQ3/AQ2)*100</f>
        <v>81.0658922038246</v>
      </c>
      <c r="AY2" s="13" t="str">
        <f aca="false">B2 &amp; " " &amp; C2 &amp; " (" &amp; E2 &amp; "A)"</f>
        <v>Celsa ALO 10030 (2000A)</v>
      </c>
      <c r="BC2" s="14"/>
    </row>
    <row r="3" customFormat="false" ht="14.15" hidden="false" customHeight="true" outlineLevel="0" collapsed="false">
      <c r="A3" s="1" t="s">
        <v>48</v>
      </c>
      <c r="B3" s="1" t="s">
        <v>44</v>
      </c>
      <c r="C3" s="1" t="s">
        <v>45</v>
      </c>
      <c r="D3" s="1" t="s">
        <v>49</v>
      </c>
      <c r="E3" s="1" t="n">
        <v>2000</v>
      </c>
      <c r="F3" s="1" t="s">
        <v>47</v>
      </c>
      <c r="G3" s="1" t="n">
        <v>45.5</v>
      </c>
      <c r="H3" s="0"/>
      <c r="I3" s="1" t="n">
        <v>634291</v>
      </c>
      <c r="J3" s="1" t="n">
        <v>0.183</v>
      </c>
      <c r="K3" s="1" t="n">
        <v>0.53</v>
      </c>
      <c r="L3" s="1" t="n">
        <v>0.48</v>
      </c>
      <c r="M3" s="1" t="n">
        <v>-0.103</v>
      </c>
      <c r="N3" s="1" t="n">
        <v>-0.026</v>
      </c>
      <c r="O3" s="1" t="n">
        <v>0.072</v>
      </c>
      <c r="Y3" s="1" t="n">
        <v>-0.273</v>
      </c>
      <c r="Z3" s="1" t="n">
        <v>-0.211</v>
      </c>
      <c r="AA3" s="1" t="n">
        <v>-0.153</v>
      </c>
      <c r="AB3" s="1" t="n">
        <v>-0.317</v>
      </c>
      <c r="AC3" s="1" t="n">
        <v>-0.23</v>
      </c>
      <c r="AD3" s="1" t="n">
        <v>-0.758</v>
      </c>
      <c r="AE3" s="8" t="n">
        <f aca="false">IFERROR(AVERAGE(J3,M3,P3), "Fehler")</f>
        <v>0.04</v>
      </c>
      <c r="AF3" s="8" t="n">
        <f aca="false">IFERROR(AVERAGE(K3,N3,Q3), "Fehler")</f>
        <v>0.252</v>
      </c>
      <c r="AG3" s="8" t="n">
        <f aca="false">IFERROR(AVERAGE(L3,O3,R3), "Fehler")</f>
        <v>0.276</v>
      </c>
      <c r="AH3" s="9" t="n">
        <f aca="false">IFERROR(AVERAGE(S3,V3,Y3), "Fehler")</f>
        <v>-0.273</v>
      </c>
      <c r="AI3" s="9" t="n">
        <f aca="false">IFERROR(AVERAGE(T3,W3,Z3), "Fehler")</f>
        <v>-0.211</v>
      </c>
      <c r="AJ3" s="9" t="n">
        <f aca="false">IFERROR(AVERAGE(U3,X3,AA3), "Fehler")</f>
        <v>-0.153</v>
      </c>
      <c r="AK3" s="10" t="n">
        <f aca="false">IFERROR(AVERAGE(AB3), "Fehler")</f>
        <v>-0.317</v>
      </c>
      <c r="AL3" s="10" t="n">
        <f aca="false">IFERROR(AVERAGE(AC3), "Fehler")</f>
        <v>-0.23</v>
      </c>
      <c r="AM3" s="10" t="n">
        <f aca="false">IFERROR(AVERAGE(AD3), "Fehler")</f>
        <v>-0.758</v>
      </c>
      <c r="AN3" s="8" t="n">
        <f aca="false">SUMPRODUCT(                            ABS(AE3:AG3)) / COUNT(AE3:AG3)</f>
        <v>0.189333333333333</v>
      </c>
      <c r="AO3" s="9" t="n">
        <f aca="false">SUMPRODUCT(                            ABS(AH3:AJ3)) / COUNT(AH3:AJ3)</f>
        <v>0.212333333333333</v>
      </c>
      <c r="AP3" s="10" t="n">
        <f aca="false">SUMPRODUCT(                            ABS(AK3:AM3)) / COUNT(AK3:AM3)</f>
        <v>0.435</v>
      </c>
      <c r="AQ3" s="11" t="n">
        <f aca="false">SUMPRODUCT(ABS(AN3:AP3)) / COUNT(AN3:AP3)</f>
        <v>0.278888888888889</v>
      </c>
      <c r="AR3" s="15"/>
      <c r="AY3" s="13" t="str">
        <f aca="false">B3 &amp; " " &amp; C3 &amp; " (" &amp; E3 &amp; "A)"</f>
        <v>Celsa ALO 10030 (2000A)</v>
      </c>
      <c r="BC3" s="14"/>
    </row>
    <row r="4" customFormat="false" ht="14.15" hidden="false" customHeight="true" outlineLevel="0" collapsed="false">
      <c r="A4" s="1" t="s">
        <v>50</v>
      </c>
      <c r="B4" s="1" t="s">
        <v>44</v>
      </c>
      <c r="C4" s="1" t="s">
        <v>51</v>
      </c>
      <c r="D4" s="1" t="s">
        <v>46</v>
      </c>
      <c r="E4" s="1" t="n">
        <v>2000</v>
      </c>
      <c r="F4" s="1" t="s">
        <v>52</v>
      </c>
      <c r="G4" s="1" t="n">
        <v>95.95</v>
      </c>
      <c r="H4" s="0"/>
      <c r="I4" s="1" t="n">
        <v>710.2</v>
      </c>
      <c r="J4" s="1" t="n">
        <v>0.134</v>
      </c>
      <c r="K4" s="1" t="n">
        <v>0.091</v>
      </c>
      <c r="L4" s="1" t="n">
        <v>0.211</v>
      </c>
      <c r="M4" s="1" t="n">
        <v>-0.222</v>
      </c>
      <c r="N4" s="1" t="n">
        <v>-0.135</v>
      </c>
      <c r="O4" s="1" t="n">
        <v>-0.055</v>
      </c>
      <c r="Y4" s="1" t="n">
        <v>-0.354</v>
      </c>
      <c r="Z4" s="1" t="n">
        <v>-0.268</v>
      </c>
      <c r="AA4" s="1" t="n">
        <v>-0.2</v>
      </c>
      <c r="AB4" s="1" t="n">
        <v>-0.428</v>
      </c>
      <c r="AC4" s="1" t="n">
        <v>-0.354</v>
      </c>
      <c r="AD4" s="1" t="n">
        <v>-0.217</v>
      </c>
      <c r="AE4" s="8" t="n">
        <f aca="false">IFERROR(AVERAGE(J4,M4,P4), "Fehler")</f>
        <v>-0.044</v>
      </c>
      <c r="AF4" s="8" t="n">
        <f aca="false">IFERROR(AVERAGE(K4,N4,Q4), "Fehler")</f>
        <v>-0.022</v>
      </c>
      <c r="AG4" s="8" t="n">
        <f aca="false">IFERROR(AVERAGE(L4,O4,R4), "Fehler")</f>
        <v>0.078</v>
      </c>
      <c r="AH4" s="9" t="n">
        <f aca="false">IFERROR(AVERAGE(S4,V4,Y4), "Fehler")</f>
        <v>-0.354</v>
      </c>
      <c r="AI4" s="9" t="n">
        <f aca="false">IFERROR(AVERAGE(T4,W4,Z4), "Fehler")</f>
        <v>-0.268</v>
      </c>
      <c r="AJ4" s="9" t="n">
        <f aca="false">IFERROR(AVERAGE(U4,X4,AA4), "Fehler")</f>
        <v>-0.2</v>
      </c>
      <c r="AK4" s="10" t="n">
        <f aca="false">IFERROR(AVERAGE(AB4), "Fehler")</f>
        <v>-0.428</v>
      </c>
      <c r="AL4" s="10" t="n">
        <f aca="false">IFERROR(AVERAGE(AC4), "Fehler")</f>
        <v>-0.354</v>
      </c>
      <c r="AM4" s="10" t="n">
        <f aca="false">IFERROR(AVERAGE(AD4), "Fehler")</f>
        <v>-0.217</v>
      </c>
      <c r="AN4" s="8" t="n">
        <f aca="false">SUMPRODUCT(                            ABS(AE4:AG4)) / COUNT(AE4:AG4)</f>
        <v>0.048</v>
      </c>
      <c r="AO4" s="9" t="n">
        <f aca="false">SUMPRODUCT(                            ABS(AH4:AJ4)) / COUNT(AH4:AJ4)</f>
        <v>0.274</v>
      </c>
      <c r="AP4" s="10" t="n">
        <f aca="false">SUMPRODUCT(                            ABS(AK4:AM4)) / COUNT(AK4:AM4)</f>
        <v>0.333</v>
      </c>
      <c r="AQ4" s="11" t="n">
        <f aca="false">SUMPRODUCT(ABS(AN4:AP4)) / COUNT(AN4:AP4)</f>
        <v>0.218333333333333</v>
      </c>
      <c r="AR4" s="12" t="n">
        <f aca="false">(1-  AQ5/AQ4)*100</f>
        <v>4.65648854961834</v>
      </c>
      <c r="AY4" s="13" t="str">
        <f aca="false">B4 &amp; " " &amp; C4 &amp; " (" &amp; E4 &amp; "A)"</f>
        <v>Celsa ALO 8030 K (2000A)</v>
      </c>
      <c r="BB4" s="14"/>
      <c r="BC4" s="14"/>
    </row>
    <row r="5" customFormat="false" ht="14.15" hidden="false" customHeight="true" outlineLevel="0" collapsed="false">
      <c r="A5" s="1" t="s">
        <v>53</v>
      </c>
      <c r="B5" s="1" t="s">
        <v>44</v>
      </c>
      <c r="C5" s="1" t="s">
        <v>51</v>
      </c>
      <c r="D5" s="1" t="s">
        <v>49</v>
      </c>
      <c r="E5" s="1" t="n">
        <v>2000</v>
      </c>
      <c r="F5" s="1" t="s">
        <v>52</v>
      </c>
      <c r="G5" s="1" t="n">
        <v>95.95</v>
      </c>
      <c r="H5" s="0"/>
      <c r="I5" s="1" t="n">
        <v>710.2</v>
      </c>
      <c r="J5" s="1" t="n">
        <v>0.114</v>
      </c>
      <c r="K5" s="1" t="n">
        <v>0.22</v>
      </c>
      <c r="L5" s="1" t="n">
        <v>0.232</v>
      </c>
      <c r="M5" s="1" t="n">
        <v>-0.115</v>
      </c>
      <c r="N5" s="1" t="n">
        <v>-0.134</v>
      </c>
      <c r="O5" s="1" t="n">
        <v>-0.11</v>
      </c>
      <c r="Y5" s="1" t="n">
        <v>-0.306</v>
      </c>
      <c r="Z5" s="1" t="n">
        <v>-0.279</v>
      </c>
      <c r="AA5" s="1" t="n">
        <v>-0.252</v>
      </c>
      <c r="AB5" s="1" t="n">
        <v>-0.338</v>
      </c>
      <c r="AC5" s="1" t="n">
        <v>-0.299</v>
      </c>
      <c r="AD5" s="1" t="n">
        <v>-0.295</v>
      </c>
      <c r="AE5" s="8" t="n">
        <f aca="false">IFERROR(AVERAGE(J5,M5,P5), "Fehler")</f>
        <v>-0.0005</v>
      </c>
      <c r="AF5" s="8" t="n">
        <f aca="false">IFERROR(AVERAGE(K5,N5,Q5), "Fehler")</f>
        <v>0.043</v>
      </c>
      <c r="AG5" s="8" t="n">
        <f aca="false">IFERROR(AVERAGE(L5,O5,R5), "Fehler")</f>
        <v>0.061</v>
      </c>
      <c r="AH5" s="9" t="n">
        <f aca="false">IFERROR(AVERAGE(S5,V5,Y5), "Fehler")</f>
        <v>-0.306</v>
      </c>
      <c r="AI5" s="9" t="n">
        <f aca="false">IFERROR(AVERAGE(T5,W5,Z5), "Fehler")</f>
        <v>-0.279</v>
      </c>
      <c r="AJ5" s="9" t="n">
        <f aca="false">IFERROR(AVERAGE(U5,X5,AA5), "Fehler")</f>
        <v>-0.252</v>
      </c>
      <c r="AK5" s="10" t="n">
        <f aca="false">IFERROR(AVERAGE(AB5), "Fehler")</f>
        <v>-0.338</v>
      </c>
      <c r="AL5" s="10" t="n">
        <f aca="false">IFERROR(AVERAGE(AC5), "Fehler")</f>
        <v>-0.299</v>
      </c>
      <c r="AM5" s="10" t="n">
        <f aca="false">IFERROR(AVERAGE(AD5), "Fehler")</f>
        <v>-0.295</v>
      </c>
      <c r="AN5" s="8" t="n">
        <f aca="false">SUMPRODUCT(                            ABS(AE5:AG5)) / COUNT(AE5:AG5)</f>
        <v>0.0348333333333333</v>
      </c>
      <c r="AO5" s="9" t="n">
        <f aca="false">SUMPRODUCT(                            ABS(AH5:AJ5)) / COUNT(AH5:AJ5)</f>
        <v>0.279</v>
      </c>
      <c r="AP5" s="10" t="n">
        <f aca="false">SUMPRODUCT(                            ABS(AK5:AM5)) / COUNT(AK5:AM5)</f>
        <v>0.310666666666667</v>
      </c>
      <c r="AQ5" s="11" t="n">
        <f aca="false">SUMPRODUCT(ABS(AN5:AP5)) / COUNT(AN5:AP5)</f>
        <v>0.208166666666667</v>
      </c>
      <c r="AR5" s="15"/>
      <c r="AY5" s="13" t="str">
        <f aca="false">B5 &amp; " " &amp; C5 &amp; " (" &amp; E5 &amp; "A)"</f>
        <v>Celsa ALO 8030 K (2000A)</v>
      </c>
      <c r="BB5" s="14"/>
      <c r="BC5" s="14"/>
    </row>
    <row r="6" customFormat="false" ht="14.15" hidden="false" customHeight="true" outlineLevel="0" collapsed="false">
      <c r="A6" s="1" t="s">
        <v>54</v>
      </c>
      <c r="B6" s="1" t="s">
        <v>55</v>
      </c>
      <c r="C6" s="1" t="s">
        <v>56</v>
      </c>
      <c r="D6" s="1" t="s">
        <v>46</v>
      </c>
      <c r="E6" s="1" t="n">
        <v>2000</v>
      </c>
      <c r="F6" s="1" t="s">
        <v>47</v>
      </c>
      <c r="G6" s="1" t="n">
        <v>43.67</v>
      </c>
      <c r="H6" s="0"/>
      <c r="I6" s="1" t="n">
        <v>733.2</v>
      </c>
      <c r="J6" s="1" t="n">
        <v>0.134</v>
      </c>
      <c r="K6" s="1" t="n">
        <v>0.091</v>
      </c>
      <c r="L6" s="1" t="n">
        <v>0.211</v>
      </c>
      <c r="M6" s="1" t="n">
        <v>-0.222</v>
      </c>
      <c r="N6" s="1" t="n">
        <v>-0.135</v>
      </c>
      <c r="O6" s="1" t="n">
        <v>-0.056</v>
      </c>
      <c r="Y6" s="1" t="n">
        <v>-0.353</v>
      </c>
      <c r="Z6" s="1" t="n">
        <v>-0.268</v>
      </c>
      <c r="AA6" s="1" t="n">
        <v>-0.2</v>
      </c>
      <c r="AB6" s="1" t="n">
        <v>-0.428</v>
      </c>
      <c r="AC6" s="1" t="n">
        <v>-0.355</v>
      </c>
      <c r="AD6" s="1" t="n">
        <v>-0.217</v>
      </c>
      <c r="AE6" s="8" t="n">
        <f aca="false">IFERROR(AVERAGE(J6,M6,P6), "Fehler")</f>
        <v>-0.044</v>
      </c>
      <c r="AF6" s="8" t="n">
        <f aca="false">IFERROR(AVERAGE(K6,N6,Q6), "Fehler")</f>
        <v>-0.022</v>
      </c>
      <c r="AG6" s="8" t="n">
        <f aca="false">IFERROR(AVERAGE(L6,O6,R6), "Fehler")</f>
        <v>0.0775</v>
      </c>
      <c r="AH6" s="9" t="n">
        <f aca="false">IFERROR(AVERAGE(S6,V6,Y6), "Fehler")</f>
        <v>-0.353</v>
      </c>
      <c r="AI6" s="9" t="n">
        <f aca="false">IFERROR(AVERAGE(T6,W6,Z6), "Fehler")</f>
        <v>-0.268</v>
      </c>
      <c r="AJ6" s="9" t="n">
        <f aca="false">IFERROR(AVERAGE(U6,X6,AA6), "Fehler")</f>
        <v>-0.2</v>
      </c>
      <c r="AK6" s="10" t="n">
        <f aca="false">IFERROR(AVERAGE(AB6), "Fehler")</f>
        <v>-0.428</v>
      </c>
      <c r="AL6" s="10" t="n">
        <f aca="false">IFERROR(AVERAGE(AC6), "Fehler")</f>
        <v>-0.355</v>
      </c>
      <c r="AM6" s="10" t="n">
        <f aca="false">IFERROR(AVERAGE(AD6), "Fehler")</f>
        <v>-0.217</v>
      </c>
      <c r="AN6" s="8" t="n">
        <f aca="false">SUMPRODUCT(                            ABS(AE6:AG6)) / COUNT(AE6:AG6)</f>
        <v>0.0478333333333333</v>
      </c>
      <c r="AO6" s="9" t="n">
        <f aca="false">SUMPRODUCT(                            ABS(AH6:AJ6)) / COUNT(AH6:AJ6)</f>
        <v>0.273666666666667</v>
      </c>
      <c r="AP6" s="10" t="n">
        <f aca="false">SUMPRODUCT(                            ABS(AK6:AM6)) / COUNT(AK6:AM6)</f>
        <v>0.333333333333333</v>
      </c>
      <c r="AQ6" s="11" t="n">
        <f aca="false">SUMPRODUCT(ABS(AN6:AP6)) / COUNT(AN6:AP6)</f>
        <v>0.218277777777778</v>
      </c>
      <c r="AR6" s="12" t="n">
        <f aca="false">(1-  AQ7/AQ6)*100</f>
        <v>16.0346144057012</v>
      </c>
      <c r="AY6" s="13" t="str">
        <f aca="false">B6 &amp; " " &amp; C6 &amp; " (" &amp; E6 &amp; "A)"</f>
        <v>MBS ASK101.4 (2000A)</v>
      </c>
      <c r="BB6" s="14"/>
      <c r="BC6" s="14"/>
    </row>
    <row r="7" customFormat="false" ht="14.15" hidden="false" customHeight="true" outlineLevel="0" collapsed="false">
      <c r="A7" s="1" t="s">
        <v>57</v>
      </c>
      <c r="B7" s="1" t="s">
        <v>55</v>
      </c>
      <c r="C7" s="1" t="s">
        <v>56</v>
      </c>
      <c r="D7" s="1" t="s">
        <v>49</v>
      </c>
      <c r="E7" s="1" t="n">
        <v>2000</v>
      </c>
      <c r="F7" s="1" t="s">
        <v>47</v>
      </c>
      <c r="G7" s="1" t="n">
        <v>43.67</v>
      </c>
      <c r="H7" s="0"/>
      <c r="I7" s="1" t="n">
        <v>733.2</v>
      </c>
      <c r="J7" s="1" t="n">
        <v>0.133</v>
      </c>
      <c r="K7" s="1" t="n">
        <v>-0.279</v>
      </c>
      <c r="L7" s="1" t="n">
        <v>0.016</v>
      </c>
      <c r="M7" s="1" t="n">
        <v>-0.097</v>
      </c>
      <c r="N7" s="1" t="n">
        <v>-0.248</v>
      </c>
      <c r="O7" s="1" t="n">
        <v>-0.044</v>
      </c>
      <c r="Y7" s="1" t="n">
        <v>-0.284</v>
      </c>
      <c r="Z7" s="1" t="n">
        <v>-0.204</v>
      </c>
      <c r="AA7" s="1" t="n">
        <v>-0.163</v>
      </c>
      <c r="AB7" s="1" t="n">
        <v>-0.305</v>
      </c>
      <c r="AC7" s="1" t="n">
        <v>-0.232</v>
      </c>
      <c r="AD7" s="1" t="n">
        <v>-0.166</v>
      </c>
      <c r="AE7" s="8" t="n">
        <f aca="false">IFERROR(AVERAGE(J7,M7,P7), "Fehler")</f>
        <v>0.018</v>
      </c>
      <c r="AF7" s="8" t="n">
        <f aca="false">IFERROR(AVERAGE(K7,N7,Q7), "Fehler")</f>
        <v>-0.2635</v>
      </c>
      <c r="AG7" s="8" t="n">
        <f aca="false">IFERROR(AVERAGE(L7,O7,R7), "Fehler")</f>
        <v>-0.014</v>
      </c>
      <c r="AH7" s="9" t="n">
        <f aca="false">IFERROR(AVERAGE(S7,V7,Y7), "Fehler")</f>
        <v>-0.284</v>
      </c>
      <c r="AI7" s="9" t="n">
        <f aca="false">IFERROR(AVERAGE(T7,W7,Z7), "Fehler")</f>
        <v>-0.204</v>
      </c>
      <c r="AJ7" s="9" t="n">
        <f aca="false">IFERROR(AVERAGE(U7,X7,AA7), "Fehler")</f>
        <v>-0.163</v>
      </c>
      <c r="AK7" s="10" t="n">
        <f aca="false">IFERROR(AVERAGE(AB7), "Fehler")</f>
        <v>-0.305</v>
      </c>
      <c r="AL7" s="10" t="n">
        <f aca="false">IFERROR(AVERAGE(AC7), "Fehler")</f>
        <v>-0.232</v>
      </c>
      <c r="AM7" s="10" t="n">
        <f aca="false">IFERROR(AVERAGE(AD7), "Fehler")</f>
        <v>-0.166</v>
      </c>
      <c r="AN7" s="8" t="n">
        <f aca="false">SUMPRODUCT(                            ABS(AE7:AG7)) / COUNT(AE7:AG7)</f>
        <v>0.0985</v>
      </c>
      <c r="AO7" s="9" t="n">
        <f aca="false">SUMPRODUCT(                            ABS(AH7:AJ7)) / COUNT(AH7:AJ7)</f>
        <v>0.217</v>
      </c>
      <c r="AP7" s="10" t="n">
        <f aca="false">SUMPRODUCT(                            ABS(AK7:AM7)) / COUNT(AK7:AM7)</f>
        <v>0.234333333333333</v>
      </c>
      <c r="AQ7" s="11" t="n">
        <f aca="false">SUMPRODUCT(ABS(AN7:AP7)) / COUNT(AN7:AP7)</f>
        <v>0.183277777777778</v>
      </c>
      <c r="AR7" s="15"/>
      <c r="AY7" s="13" t="str">
        <f aca="false">B7 &amp; " " &amp; C7 &amp; " (" &amp; E7 &amp; "A)"</f>
        <v>MBS ASK101.4 (2000A)</v>
      </c>
      <c r="BB7" s="14"/>
      <c r="BC7" s="14"/>
    </row>
    <row r="8" customFormat="false" ht="14.15" hidden="false" customHeight="true" outlineLevel="0" collapsed="false">
      <c r="A8" s="1" t="s">
        <v>58</v>
      </c>
      <c r="B8" s="1" t="s">
        <v>59</v>
      </c>
      <c r="C8" s="1" t="s">
        <v>60</v>
      </c>
      <c r="D8" s="1" t="s">
        <v>46</v>
      </c>
      <c r="E8" s="1" t="n">
        <v>2000</v>
      </c>
      <c r="F8" s="1" t="s">
        <v>61</v>
      </c>
      <c r="G8" s="1" t="n">
        <v>146.01</v>
      </c>
      <c r="H8" s="0"/>
      <c r="I8" s="1" t="n">
        <v>778.733</v>
      </c>
      <c r="J8" s="1" t="n">
        <v>0.376</v>
      </c>
      <c r="K8" s="1" t="n">
        <v>0.445</v>
      </c>
      <c r="L8" s="1" t="n">
        <v>0.405</v>
      </c>
      <c r="M8" s="1" t="n">
        <v>0.058</v>
      </c>
      <c r="N8" s="1" t="n">
        <v>0.111</v>
      </c>
      <c r="O8" s="1" t="n">
        <v>0.146</v>
      </c>
      <c r="Y8" s="1" t="n">
        <v>-0.081</v>
      </c>
      <c r="Z8" s="1" t="n">
        <v>-0.029</v>
      </c>
      <c r="AA8" s="1" t="n">
        <v>0.017</v>
      </c>
      <c r="AB8" s="1" t="n">
        <v>-0.103</v>
      </c>
      <c r="AC8" s="1" t="n">
        <v>-0.509</v>
      </c>
      <c r="AD8" s="1" t="n">
        <v>-0.007</v>
      </c>
      <c r="AE8" s="8" t="n">
        <f aca="false">IFERROR(AVERAGE(J8,M8,P8), "Fehler")</f>
        <v>0.217</v>
      </c>
      <c r="AF8" s="8" t="n">
        <f aca="false">IFERROR(AVERAGE(K8,N8,Q8), "Fehler")</f>
        <v>0.278</v>
      </c>
      <c r="AG8" s="8" t="n">
        <f aca="false">IFERROR(AVERAGE(L8,O8,R8), "Fehler")</f>
        <v>0.2755</v>
      </c>
      <c r="AH8" s="9" t="n">
        <f aca="false">IFERROR(AVERAGE(S8,V8,Y8), "Fehler")</f>
        <v>-0.081</v>
      </c>
      <c r="AI8" s="9" t="n">
        <f aca="false">IFERROR(AVERAGE(T8,W8,Z8), "Fehler")</f>
        <v>-0.029</v>
      </c>
      <c r="AJ8" s="9" t="n">
        <f aca="false">IFERROR(AVERAGE(U8,X8,AA8), "Fehler")</f>
        <v>0.017</v>
      </c>
      <c r="AK8" s="10" t="n">
        <f aca="false">IFERROR(AVERAGE(AB8), "Fehler")</f>
        <v>-0.103</v>
      </c>
      <c r="AL8" s="10" t="n">
        <f aca="false">IFERROR(AVERAGE(AC8), "Fehler")</f>
        <v>-0.509</v>
      </c>
      <c r="AM8" s="10" t="n">
        <f aca="false">IFERROR(AVERAGE(AD8), "Fehler")</f>
        <v>-0.007</v>
      </c>
      <c r="AN8" s="8" t="n">
        <f aca="false">SUMPRODUCT(                            ABS(AE8:AG8)) / COUNT(AE8:AG8)</f>
        <v>0.256833333333333</v>
      </c>
      <c r="AO8" s="9" t="n">
        <f aca="false">SUMPRODUCT(                            ABS(AH8:AJ8)) / COUNT(AH8:AJ8)</f>
        <v>0.0423333333333333</v>
      </c>
      <c r="AP8" s="10" t="n">
        <f aca="false">SUMPRODUCT(                            ABS(AK8:AM8)) / COUNT(AK8:AM8)</f>
        <v>0.206333333333333</v>
      </c>
      <c r="AQ8" s="11" t="n">
        <f aca="false">SUMPRODUCT(ABS(AN8:AP8)) / COUNT(AN8:AP8)</f>
        <v>0.1685</v>
      </c>
      <c r="AR8" s="12" t="n">
        <f aca="false">(1-  AQ9/AQ8)*100</f>
        <v>-85.6577645895153</v>
      </c>
      <c r="AY8" s="13" t="str">
        <f aca="false">B8 &amp; " " &amp; C8 &amp; " (" &amp; E8 &amp; "A)"</f>
        <v>Redur 13A1030.3ffp (2000A)</v>
      </c>
      <c r="BB8" s="14"/>
      <c r="BC8" s="14"/>
    </row>
    <row r="9" customFormat="false" ht="14.15" hidden="false" customHeight="true" outlineLevel="0" collapsed="false">
      <c r="A9" s="1" t="s">
        <v>62</v>
      </c>
      <c r="B9" s="1" t="s">
        <v>59</v>
      </c>
      <c r="C9" s="1" t="s">
        <v>60</v>
      </c>
      <c r="D9" s="1" t="s">
        <v>49</v>
      </c>
      <c r="E9" s="1" t="n">
        <v>2000</v>
      </c>
      <c r="F9" s="1" t="s">
        <v>61</v>
      </c>
      <c r="G9" s="1" t="n">
        <v>146.01</v>
      </c>
      <c r="H9" s="0"/>
      <c r="I9" s="1" t="n">
        <v>778.733</v>
      </c>
      <c r="J9" s="1" t="n">
        <v>0.473</v>
      </c>
      <c r="K9" s="1" t="n">
        <v>0.338</v>
      </c>
      <c r="L9" s="1" t="n">
        <v>0.471</v>
      </c>
      <c r="M9" s="1" t="n">
        <v>0.022</v>
      </c>
      <c r="N9" s="1" t="n">
        <v>0.088</v>
      </c>
      <c r="O9" s="1" t="n">
        <v>0.111</v>
      </c>
      <c r="Y9" s="1" t="n">
        <v>-0.12</v>
      </c>
      <c r="Z9" s="1" t="n">
        <v>-0.094</v>
      </c>
      <c r="AA9" s="1" t="n">
        <v>0.126</v>
      </c>
      <c r="AB9" s="1" t="n">
        <v>-0.121</v>
      </c>
      <c r="AC9" s="1" t="n">
        <v>-1.533</v>
      </c>
      <c r="AD9" s="1" t="n">
        <v>-0.07</v>
      </c>
      <c r="AE9" s="8" t="n">
        <f aca="false">IFERROR(AVERAGE(J9,M9,P9), "Fehler")</f>
        <v>0.2475</v>
      </c>
      <c r="AF9" s="8" t="n">
        <f aca="false">IFERROR(AVERAGE(K9,N9,Q9), "Fehler")</f>
        <v>0.213</v>
      </c>
      <c r="AG9" s="8" t="n">
        <f aca="false">IFERROR(AVERAGE(L9,O9,R9), "Fehler")</f>
        <v>0.291</v>
      </c>
      <c r="AH9" s="9" t="n">
        <f aca="false">IFERROR(AVERAGE(S9,V9,Y9), "Fehler")</f>
        <v>-0.12</v>
      </c>
      <c r="AI9" s="9" t="n">
        <f aca="false">IFERROR(AVERAGE(T9,W9,Z9), "Fehler")</f>
        <v>-0.094</v>
      </c>
      <c r="AJ9" s="9" t="n">
        <f aca="false">IFERROR(AVERAGE(U9,X9,AA9), "Fehler")</f>
        <v>0.126</v>
      </c>
      <c r="AK9" s="10" t="n">
        <f aca="false">IFERROR(AVERAGE(AB9), "Fehler")</f>
        <v>-0.121</v>
      </c>
      <c r="AL9" s="10" t="n">
        <f aca="false">IFERROR(AVERAGE(AC9), "Fehler")</f>
        <v>-1.533</v>
      </c>
      <c r="AM9" s="10" t="n">
        <f aca="false">IFERROR(AVERAGE(AD9), "Fehler")</f>
        <v>-0.07</v>
      </c>
      <c r="AN9" s="8" t="n">
        <f aca="false">SUMPRODUCT(                            ABS(AE9:AG9)) / COUNT(AE9:AG9)</f>
        <v>0.2505</v>
      </c>
      <c r="AO9" s="9" t="n">
        <f aca="false">SUMPRODUCT(                            ABS(AH9:AJ9)) / COUNT(AH9:AJ9)</f>
        <v>0.113333333333333</v>
      </c>
      <c r="AP9" s="10" t="n">
        <f aca="false">SUMPRODUCT(                            ABS(AK9:AM9)) / COUNT(AK9:AM9)</f>
        <v>0.574666666666667</v>
      </c>
      <c r="AQ9" s="11" t="n">
        <f aca="false">SUMPRODUCT(ABS(AN9:AP9)) / COUNT(AN9:AP9)</f>
        <v>0.312833333333333</v>
      </c>
      <c r="AR9" s="15"/>
      <c r="AY9" s="13" t="str">
        <f aca="false">B9 &amp; " " &amp; C9 &amp; " (" &amp; E9 &amp; "A)"</f>
        <v>Redur 13A1030.3ffp (2000A)</v>
      </c>
      <c r="BB9" s="14"/>
      <c r="BC9" s="14"/>
    </row>
    <row r="10" customFormat="false" ht="14.15" hidden="false" customHeight="true" outlineLevel="0" collapsed="false">
      <c r="A10" s="1" t="s">
        <v>63</v>
      </c>
      <c r="B10" s="1" t="s">
        <v>44</v>
      </c>
      <c r="C10" s="1" t="s">
        <v>45</v>
      </c>
      <c r="D10" s="1" t="s">
        <v>46</v>
      </c>
      <c r="E10" s="1" t="n">
        <v>2500</v>
      </c>
      <c r="F10" s="1" t="s">
        <v>47</v>
      </c>
      <c r="G10" s="1" t="n">
        <v>45.5</v>
      </c>
      <c r="H10" s="0"/>
      <c r="I10" s="1" t="n">
        <v>634291</v>
      </c>
      <c r="J10" s="1" t="n">
        <v>-0.061</v>
      </c>
      <c r="K10" s="1" t="n">
        <v>0.06</v>
      </c>
      <c r="L10" s="1" t="n">
        <v>0.18</v>
      </c>
      <c r="M10" s="1" t="n">
        <v>-0.214</v>
      </c>
      <c r="N10" s="1" t="n">
        <v>-0.117</v>
      </c>
      <c r="O10" s="1" t="n">
        <v>0.031</v>
      </c>
      <c r="P10" s="1" t="n">
        <v>-0.653</v>
      </c>
      <c r="Q10" s="1" t="n">
        <v>-2.732</v>
      </c>
      <c r="R10" s="1" t="n">
        <v>-0.119</v>
      </c>
      <c r="S10" s="1" t="n">
        <v>-7.423</v>
      </c>
      <c r="T10" s="1" t="n">
        <v>-11.571</v>
      </c>
      <c r="U10" s="1" t="n">
        <v>-5.352</v>
      </c>
      <c r="V10" s="1" t="n">
        <v>-10.056</v>
      </c>
      <c r="W10" s="1" t="n">
        <v>-14.277</v>
      </c>
      <c r="X10" s="1" t="n">
        <v>-7.856</v>
      </c>
      <c r="Y10" s="1" t="n">
        <v>-12.37</v>
      </c>
      <c r="Z10" s="1" t="n">
        <v>-16.623</v>
      </c>
      <c r="AA10" s="1" t="n">
        <v>-10.099</v>
      </c>
      <c r="AB10" s="1" t="n">
        <v>-16.238</v>
      </c>
      <c r="AC10" s="1" t="n">
        <v>-20.565</v>
      </c>
      <c r="AD10" s="1" t="n">
        <v>-13.862</v>
      </c>
      <c r="AE10" s="8" t="n">
        <f aca="false">IFERROR(AVERAGE(J10,M10,P10), "Fehler")</f>
        <v>-0.309333333333333</v>
      </c>
      <c r="AF10" s="8" t="n">
        <f aca="false">IFERROR(AVERAGE(K10,N10,Q10), "Fehler")</f>
        <v>-0.929666666666667</v>
      </c>
      <c r="AG10" s="8" t="n">
        <f aca="false">IFERROR(AVERAGE(L10,O10,R10), "Fehler")</f>
        <v>0.0306666666666667</v>
      </c>
      <c r="AH10" s="9" t="n">
        <f aca="false">IFERROR(AVERAGE(S10,V10,Y10), "Fehler")</f>
        <v>-9.94966666666667</v>
      </c>
      <c r="AI10" s="9" t="n">
        <f aca="false">IFERROR(AVERAGE(T10,W10,Z10), "Fehler")</f>
        <v>-14.157</v>
      </c>
      <c r="AJ10" s="9" t="n">
        <f aca="false">IFERROR(AVERAGE(U10,X10,AA10), "Fehler")</f>
        <v>-7.769</v>
      </c>
      <c r="AK10" s="10" t="n">
        <f aca="false">IFERROR(AVERAGE(AB10), "Fehler")</f>
        <v>-16.238</v>
      </c>
      <c r="AL10" s="10" t="n">
        <f aca="false">IFERROR(AVERAGE(AC10), "Fehler")</f>
        <v>-20.565</v>
      </c>
      <c r="AM10" s="10" t="n">
        <f aca="false">IFERROR(AVERAGE(AD10), "Fehler")</f>
        <v>-13.862</v>
      </c>
      <c r="AN10" s="8" t="n">
        <f aca="false">SUMPRODUCT(                            ABS(AE10:AG10)) / COUNT(AE10:AG10)</f>
        <v>0.423222222222222</v>
      </c>
      <c r="AO10" s="9" t="n">
        <f aca="false">SUMPRODUCT(                            ABS(AH10:AJ10)) / COUNT(AH10:AJ10)</f>
        <v>10.6252222222222</v>
      </c>
      <c r="AP10" s="10" t="n">
        <f aca="false">SUMPRODUCT(                            ABS(AK10:AM10)) / COUNT(AK10:AM10)</f>
        <v>16.8883333333333</v>
      </c>
      <c r="AQ10" s="11" t="n">
        <f aca="false">SUMPRODUCT(ABS(AN10:AP10)) / COUNT(AN10:AP10)</f>
        <v>9.31225925925926</v>
      </c>
      <c r="AR10" s="12" t="n">
        <f aca="false">(1-  AQ11/AQ10)*100</f>
        <v>72.1967458268869</v>
      </c>
      <c r="AY10" s="13" t="str">
        <f aca="false">B10 &amp; " " &amp; C10 &amp; " (" &amp; E10 &amp; "A)"</f>
        <v>Celsa ALO 10030 (2500A)</v>
      </c>
      <c r="BB10" s="14"/>
      <c r="BC10" s="14"/>
    </row>
    <row r="11" customFormat="false" ht="14.15" hidden="false" customHeight="true" outlineLevel="0" collapsed="false">
      <c r="A11" s="1" t="s">
        <v>64</v>
      </c>
      <c r="B11" s="1" t="s">
        <v>44</v>
      </c>
      <c r="C11" s="1" t="s">
        <v>45</v>
      </c>
      <c r="D11" s="1" t="s">
        <v>49</v>
      </c>
      <c r="E11" s="1" t="n">
        <v>2500</v>
      </c>
      <c r="F11" s="1" t="s">
        <v>47</v>
      </c>
      <c r="G11" s="1" t="n">
        <v>45.5</v>
      </c>
      <c r="H11" s="0"/>
      <c r="I11" s="1" t="n">
        <v>634291</v>
      </c>
      <c r="J11" s="1" t="n">
        <v>0.159</v>
      </c>
      <c r="K11" s="1" t="n">
        <v>0.073</v>
      </c>
      <c r="L11" s="1" t="n">
        <v>0.182</v>
      </c>
      <c r="M11" s="1" t="n">
        <v>-0.107</v>
      </c>
      <c r="N11" s="1" t="n">
        <v>-0.204</v>
      </c>
      <c r="O11" s="1" t="n">
        <v>-0.139</v>
      </c>
      <c r="P11" s="1" t="n">
        <v>-0.247</v>
      </c>
      <c r="Q11" s="1" t="n">
        <v>-0.316</v>
      </c>
      <c r="R11" s="1" t="n">
        <v>-0.256</v>
      </c>
      <c r="S11" s="1" t="n">
        <v>-1.678</v>
      </c>
      <c r="T11" s="1" t="n">
        <v>-1.568</v>
      </c>
      <c r="U11" s="1" t="n">
        <v>-1.126</v>
      </c>
      <c r="V11" s="1" t="n">
        <v>-3.337</v>
      </c>
      <c r="W11" s="1" t="n">
        <v>-1.763</v>
      </c>
      <c r="X11" s="1" t="n">
        <v>-2.232</v>
      </c>
      <c r="Y11" s="1" t="n">
        <v>-5.066</v>
      </c>
      <c r="Z11" s="1" t="n">
        <v>-1.834</v>
      </c>
      <c r="AA11" s="1" t="n">
        <v>-3.452</v>
      </c>
      <c r="AB11" s="1" t="n">
        <v>-8.278</v>
      </c>
      <c r="AC11" s="1" t="n">
        <v>-1.95</v>
      </c>
      <c r="AD11" s="1" t="n">
        <v>-5.437</v>
      </c>
      <c r="AE11" s="8" t="n">
        <f aca="false">IFERROR(AVERAGE(J11,M11,P11), "Fehler")</f>
        <v>-0.065</v>
      </c>
      <c r="AF11" s="8" t="n">
        <f aca="false">IFERROR(AVERAGE(K11,N11,Q11), "Fehler")</f>
        <v>-0.149</v>
      </c>
      <c r="AG11" s="8" t="n">
        <f aca="false">IFERROR(AVERAGE(L11,O11,R11), "Fehler")</f>
        <v>-0.071</v>
      </c>
      <c r="AH11" s="9" t="n">
        <f aca="false">IFERROR(AVERAGE(S11,V11,Y11), "Fehler")</f>
        <v>-3.36033333333333</v>
      </c>
      <c r="AI11" s="9" t="n">
        <f aca="false">IFERROR(AVERAGE(T11,W11,Z11), "Fehler")</f>
        <v>-1.72166666666667</v>
      </c>
      <c r="AJ11" s="9" t="n">
        <f aca="false">IFERROR(AVERAGE(U11,X11,AA11), "Fehler")</f>
        <v>-2.27</v>
      </c>
      <c r="AK11" s="10" t="n">
        <f aca="false">IFERROR(AVERAGE(AB11), "Fehler")</f>
        <v>-8.278</v>
      </c>
      <c r="AL11" s="10" t="n">
        <f aca="false">IFERROR(AVERAGE(AC11), "Fehler")</f>
        <v>-1.95</v>
      </c>
      <c r="AM11" s="10" t="n">
        <f aca="false">IFERROR(AVERAGE(AD11), "Fehler")</f>
        <v>-5.437</v>
      </c>
      <c r="AN11" s="8" t="n">
        <f aca="false">SUMPRODUCT(                            ABS(AE11:AG11)) / COUNT(AE11:AG11)</f>
        <v>0.095</v>
      </c>
      <c r="AO11" s="9" t="n">
        <f aca="false">SUMPRODUCT(                            ABS(AH11:AJ11)) / COUNT(AH11:AJ11)</f>
        <v>2.45066666666667</v>
      </c>
      <c r="AP11" s="10" t="n">
        <f aca="false">SUMPRODUCT(                            ABS(AK11:AM11)) / COUNT(AK11:AM11)</f>
        <v>5.22166666666667</v>
      </c>
      <c r="AQ11" s="11" t="n">
        <f aca="false">SUMPRODUCT(ABS(AN11:AP11)) / COUNT(AN11:AP11)</f>
        <v>2.58911111111111</v>
      </c>
      <c r="AR11" s="15"/>
      <c r="AY11" s="13" t="str">
        <f aca="false">B11 &amp; " " &amp; C11 &amp; " (" &amp; E11 &amp; "A)"</f>
        <v>Celsa ALO 10030 (2500A)</v>
      </c>
    </row>
    <row r="12" customFormat="false" ht="14.15" hidden="false" customHeight="true" outlineLevel="0" collapsed="false">
      <c r="A12" s="1" t="s">
        <v>65</v>
      </c>
      <c r="B12" s="1" t="s">
        <v>44</v>
      </c>
      <c r="C12" s="1" t="s">
        <v>66</v>
      </c>
      <c r="D12" s="1" t="s">
        <v>46</v>
      </c>
      <c r="E12" s="1" t="n">
        <v>2500</v>
      </c>
      <c r="F12" s="1" t="s">
        <v>52</v>
      </c>
      <c r="G12" s="1" t="n">
        <v>104.2</v>
      </c>
      <c r="H12" s="0"/>
      <c r="I12" s="1" t="n">
        <v>1027</v>
      </c>
      <c r="J12" s="1" t="n">
        <v>0.081</v>
      </c>
      <c r="K12" s="1" t="n">
        <v>0.247</v>
      </c>
      <c r="L12" s="1" t="n">
        <v>0.234</v>
      </c>
      <c r="M12" s="1" t="n">
        <v>-0.164</v>
      </c>
      <c r="N12" s="1" t="n">
        <v>-0.104</v>
      </c>
      <c r="O12" s="1" t="n">
        <v>-0.053</v>
      </c>
      <c r="P12" s="1" t="n">
        <v>-0.232</v>
      </c>
      <c r="Q12" s="1" t="n">
        <v>-0.192</v>
      </c>
      <c r="R12" s="1" t="n">
        <v>-0.135</v>
      </c>
      <c r="S12" s="1" t="n">
        <v>-0.273</v>
      </c>
      <c r="T12" s="1" t="n">
        <v>-0.238</v>
      </c>
      <c r="U12" s="1" t="n">
        <v>-0.173</v>
      </c>
      <c r="V12" s="1" t="n">
        <v>-0.306</v>
      </c>
      <c r="W12" s="1" t="n">
        <v>-0.301</v>
      </c>
      <c r="X12" s="1" t="n">
        <v>-0.199</v>
      </c>
      <c r="Y12" s="1" t="n">
        <v>-0.291</v>
      </c>
      <c r="Z12" s="1" t="n">
        <v>-0.372</v>
      </c>
      <c r="AA12" s="1" t="n">
        <v>-0.197</v>
      </c>
      <c r="AB12" s="1" t="n">
        <v>-0.326</v>
      </c>
      <c r="AC12" s="1" t="n">
        <v>-1.012</v>
      </c>
      <c r="AD12" s="1" t="n">
        <v>-0.264</v>
      </c>
      <c r="AE12" s="8" t="n">
        <f aca="false">IFERROR(AVERAGE(J12,M12,P12), "Fehler")</f>
        <v>-0.105</v>
      </c>
      <c r="AF12" s="8" t="n">
        <f aca="false">IFERROR(AVERAGE(K12,N12,Q12), "Fehler")</f>
        <v>-0.0163333333333333</v>
      </c>
      <c r="AG12" s="8" t="n">
        <f aca="false">IFERROR(AVERAGE(L12,O12,R12), "Fehler")</f>
        <v>0.0153333333333333</v>
      </c>
      <c r="AH12" s="9" t="n">
        <f aca="false">IFERROR(AVERAGE(S12,V12,Y12), "Fehler")</f>
        <v>-0.29</v>
      </c>
      <c r="AI12" s="9" t="n">
        <f aca="false">IFERROR(AVERAGE(T12,W12,Z12), "Fehler")</f>
        <v>-0.303666666666667</v>
      </c>
      <c r="AJ12" s="9" t="n">
        <f aca="false">IFERROR(AVERAGE(U12,X12,AA12), "Fehler")</f>
        <v>-0.189666666666667</v>
      </c>
      <c r="AK12" s="10" t="n">
        <f aca="false">IFERROR(AVERAGE(AB12), "Fehler")</f>
        <v>-0.326</v>
      </c>
      <c r="AL12" s="10" t="n">
        <f aca="false">IFERROR(AVERAGE(AC12), "Fehler")</f>
        <v>-1.012</v>
      </c>
      <c r="AM12" s="10" t="n">
        <f aca="false">IFERROR(AVERAGE(AD12), "Fehler")</f>
        <v>-0.264</v>
      </c>
      <c r="AN12" s="8" t="n">
        <f aca="false">SUMPRODUCT(                            ABS(AE12:AG12)) / COUNT(AE12:AG12)</f>
        <v>0.0455555555555556</v>
      </c>
      <c r="AO12" s="9" t="n">
        <f aca="false">SUMPRODUCT(                            ABS(AH12:AJ12)) / COUNT(AH12:AJ12)</f>
        <v>0.261111111111111</v>
      </c>
      <c r="AP12" s="10" t="n">
        <f aca="false">SUMPRODUCT(                            ABS(AK12:AM12)) / COUNT(AK12:AM12)</f>
        <v>0.534</v>
      </c>
      <c r="AQ12" s="11" t="n">
        <f aca="false">SUMPRODUCT(ABS(AN12:AP12)) / COUNT(AN12:AP12)</f>
        <v>0.280222222222222</v>
      </c>
      <c r="AR12" s="12" t="n">
        <f aca="false">(1-  AQ13/AQ12)*100</f>
        <v>14.0761300555115</v>
      </c>
      <c r="AY12" s="13" t="str">
        <f aca="false">B12 &amp; " " &amp; C12 &amp; " (" &amp; E12 &amp; "A)"</f>
        <v>Celsa ALO 10050 K (2500A)</v>
      </c>
    </row>
    <row r="13" customFormat="false" ht="14.15" hidden="false" customHeight="true" outlineLevel="0" collapsed="false">
      <c r="A13" s="1" t="s">
        <v>67</v>
      </c>
      <c r="B13" s="1" t="s">
        <v>44</v>
      </c>
      <c r="C13" s="1" t="s">
        <v>66</v>
      </c>
      <c r="D13" s="1" t="s">
        <v>49</v>
      </c>
      <c r="E13" s="1" t="n">
        <v>2500</v>
      </c>
      <c r="F13" s="1" t="s">
        <v>52</v>
      </c>
      <c r="G13" s="1" t="n">
        <v>104.2</v>
      </c>
      <c r="H13" s="0"/>
      <c r="I13" s="1" t="n">
        <v>1027</v>
      </c>
      <c r="J13" s="1" t="n">
        <v>-0.029</v>
      </c>
      <c r="K13" s="1" t="n">
        <v>0.009</v>
      </c>
      <c r="L13" s="1" t="n">
        <v>0.102</v>
      </c>
      <c r="M13" s="1" t="n">
        <v>-0.186</v>
      </c>
      <c r="N13" s="1" t="n">
        <v>-0.14</v>
      </c>
      <c r="O13" s="1" t="n">
        <v>-0.077</v>
      </c>
      <c r="P13" s="1" t="n">
        <v>-0.229</v>
      </c>
      <c r="Q13" s="1" t="n">
        <v>-0.188</v>
      </c>
      <c r="R13" s="1" t="n">
        <v>-0.126</v>
      </c>
      <c r="S13" s="1" t="n">
        <v>-0.255</v>
      </c>
      <c r="T13" s="1" t="n">
        <v>-0.222</v>
      </c>
      <c r="U13" s="1" t="n">
        <v>-0.171</v>
      </c>
      <c r="V13" s="1" t="n">
        <v>-0.259</v>
      </c>
      <c r="W13" s="1" t="n">
        <v>-0.242</v>
      </c>
      <c r="X13" s="1" t="n">
        <v>-0.192</v>
      </c>
      <c r="Y13" s="1" t="n">
        <v>-0.279</v>
      </c>
      <c r="Z13" s="1" t="n">
        <v>-0.275</v>
      </c>
      <c r="AA13" s="1" t="n">
        <v>-0.229</v>
      </c>
      <c r="AB13" s="1" t="n">
        <v>-0.305</v>
      </c>
      <c r="AC13" s="1" t="n">
        <v>-0.549</v>
      </c>
      <c r="AD13" s="1" t="n">
        <v>-0.317</v>
      </c>
      <c r="AE13" s="8" t="n">
        <f aca="false">IFERROR(AVERAGE(J13,M13,P13), "Fehler")</f>
        <v>-0.148</v>
      </c>
      <c r="AF13" s="8" t="n">
        <f aca="false">IFERROR(AVERAGE(K13,N13,Q13), "Fehler")</f>
        <v>-0.106333333333333</v>
      </c>
      <c r="AG13" s="8" t="n">
        <f aca="false">IFERROR(AVERAGE(L13,O13,R13), "Fehler")</f>
        <v>-0.0336666666666667</v>
      </c>
      <c r="AH13" s="9" t="n">
        <f aca="false">IFERROR(AVERAGE(S13,V13,Y13), "Fehler")</f>
        <v>-0.264333333333333</v>
      </c>
      <c r="AI13" s="9" t="n">
        <f aca="false">IFERROR(AVERAGE(T13,W13,Z13), "Fehler")</f>
        <v>-0.246333333333333</v>
      </c>
      <c r="AJ13" s="9" t="n">
        <f aca="false">IFERROR(AVERAGE(U13,X13,AA13), "Fehler")</f>
        <v>-0.197333333333333</v>
      </c>
      <c r="AK13" s="10" t="n">
        <f aca="false">IFERROR(AVERAGE(AB13), "Fehler")</f>
        <v>-0.305</v>
      </c>
      <c r="AL13" s="10" t="n">
        <f aca="false">IFERROR(AVERAGE(AC13), "Fehler")</f>
        <v>-0.549</v>
      </c>
      <c r="AM13" s="10" t="n">
        <f aca="false">IFERROR(AVERAGE(AD13), "Fehler")</f>
        <v>-0.317</v>
      </c>
      <c r="AN13" s="8" t="n">
        <f aca="false">SUMPRODUCT(                            ABS(AE13:AG13)) / COUNT(AE13:AG13)</f>
        <v>0.096</v>
      </c>
      <c r="AO13" s="9" t="n">
        <f aca="false">SUMPRODUCT(                            ABS(AH13:AJ13)) / COUNT(AH13:AJ13)</f>
        <v>0.236</v>
      </c>
      <c r="AP13" s="10" t="n">
        <f aca="false">SUMPRODUCT(                            ABS(AK13:AM13)) / COUNT(AK13:AM13)</f>
        <v>0.390333333333333</v>
      </c>
      <c r="AQ13" s="11" t="n">
        <f aca="false">SUMPRODUCT(ABS(AN13:AP13)) / COUNT(AN13:AP13)</f>
        <v>0.240777777777778</v>
      </c>
      <c r="AR13" s="15"/>
      <c r="AY13" s="13" t="str">
        <f aca="false">B13 &amp; " " &amp; C13 &amp; " (" &amp; E13 &amp; "A)"</f>
        <v>Celsa ALO 10050 K (2500A)</v>
      </c>
    </row>
    <row r="14" customFormat="false" ht="14.15" hidden="false" customHeight="true" outlineLevel="0" collapsed="false">
      <c r="A14" s="1" t="s">
        <v>68</v>
      </c>
      <c r="B14" s="1" t="s">
        <v>44</v>
      </c>
      <c r="C14" s="1" t="s">
        <v>69</v>
      </c>
      <c r="D14" s="1" t="s">
        <v>46</v>
      </c>
      <c r="E14" s="1" t="n">
        <v>3000</v>
      </c>
      <c r="F14" s="1" t="s">
        <v>47</v>
      </c>
      <c r="G14" s="1" t="n">
        <v>71.51</v>
      </c>
      <c r="H14" s="0"/>
      <c r="I14" s="1" t="n">
        <v>1520</v>
      </c>
      <c r="J14" s="1" t="n">
        <v>0.265</v>
      </c>
      <c r="K14" s="1" t="n">
        <v>0.285</v>
      </c>
      <c r="L14" s="1" t="n">
        <v>0.253</v>
      </c>
      <c r="M14" s="1" t="n">
        <v>-0.195</v>
      </c>
      <c r="N14" s="1" t="n">
        <v>-0.089</v>
      </c>
      <c r="O14" s="1" t="n">
        <v>-0.03</v>
      </c>
      <c r="P14" s="1" t="n">
        <v>-0.225</v>
      </c>
      <c r="Q14" s="1" t="n">
        <v>-0.158</v>
      </c>
      <c r="R14" s="1" t="n">
        <v>-0.098</v>
      </c>
      <c r="S14" s="1" t="n">
        <v>-0.301</v>
      </c>
      <c r="T14" s="1" t="n">
        <v>-1.081</v>
      </c>
      <c r="U14" s="1" t="n">
        <v>-0.138</v>
      </c>
      <c r="V14" s="1" t="n">
        <v>-0.349</v>
      </c>
      <c r="W14" s="1" t="n">
        <v>-1.89</v>
      </c>
      <c r="X14" s="1" t="n">
        <v>-0.149</v>
      </c>
      <c r="Y14" s="1" t="n">
        <v>-0.418</v>
      </c>
      <c r="Z14" s="1" t="n">
        <v>-2.924</v>
      </c>
      <c r="AA14" s="1" t="n">
        <v>-0.17</v>
      </c>
      <c r="AB14" s="1" t="n">
        <v>-1.017</v>
      </c>
      <c r="AC14" s="1" t="n">
        <v>-5.426</v>
      </c>
      <c r="AD14" s="1" t="n">
        <v>-0.91</v>
      </c>
      <c r="AE14" s="8" t="n">
        <f aca="false">IFERROR(AVERAGE(J14,M14,P14), "Fehler")</f>
        <v>-0.0516666666666667</v>
      </c>
      <c r="AF14" s="8" t="n">
        <f aca="false">IFERROR(AVERAGE(K14,N14,Q14), "Fehler")</f>
        <v>0.0126666666666667</v>
      </c>
      <c r="AG14" s="8" t="n">
        <f aca="false">IFERROR(AVERAGE(L14,O14,R14), "Fehler")</f>
        <v>0.0416666666666667</v>
      </c>
      <c r="AH14" s="9" t="n">
        <f aca="false">IFERROR(AVERAGE(S14,V14,Y14), "Fehler")</f>
        <v>-0.356</v>
      </c>
      <c r="AI14" s="9" t="n">
        <f aca="false">IFERROR(AVERAGE(T14,W14,Z14), "Fehler")</f>
        <v>-1.965</v>
      </c>
      <c r="AJ14" s="9" t="n">
        <f aca="false">IFERROR(AVERAGE(U14,X14,AA14), "Fehler")</f>
        <v>-0.152333333333333</v>
      </c>
      <c r="AK14" s="10" t="n">
        <f aca="false">IFERROR(AVERAGE(AB14), "Fehler")</f>
        <v>-1.017</v>
      </c>
      <c r="AL14" s="10" t="n">
        <f aca="false">IFERROR(AVERAGE(AC14), "Fehler")</f>
        <v>-5.426</v>
      </c>
      <c r="AM14" s="10" t="n">
        <f aca="false">IFERROR(AVERAGE(AD14), "Fehler")</f>
        <v>-0.91</v>
      </c>
      <c r="AN14" s="8" t="n">
        <f aca="false">SUMPRODUCT(                            ABS(AE14:AG14)) / COUNT(AE14:AG14)</f>
        <v>0.0353333333333333</v>
      </c>
      <c r="AO14" s="9" t="n">
        <f aca="false">SUMPRODUCT(                            ABS(AH14:AJ14)) / COUNT(AH14:AJ14)</f>
        <v>0.824444444444444</v>
      </c>
      <c r="AP14" s="10" t="n">
        <f aca="false">SUMPRODUCT(                            ABS(AK14:AM14)) / COUNT(AK14:AM14)</f>
        <v>2.451</v>
      </c>
      <c r="AQ14" s="11" t="n">
        <f aca="false">SUMPRODUCT(ABS(AN14:AP14)) / COUNT(AN14:AP14)</f>
        <v>1.10359259259259</v>
      </c>
      <c r="AR14" s="12" t="n">
        <f aca="false">(1-  AQ15/AQ14)*100</f>
        <v>81.8203174816257</v>
      </c>
      <c r="AY14" s="13" t="str">
        <f aca="false">B14 &amp; " " &amp; C14 &amp; " (" &amp; E14 &amp; "A)"</f>
        <v>Celsa ALO 12070 (3000A)</v>
      </c>
    </row>
    <row r="15" customFormat="false" ht="14.15" hidden="false" customHeight="true" outlineLevel="0" collapsed="false">
      <c r="A15" s="1" t="s">
        <v>70</v>
      </c>
      <c r="B15" s="1" t="s">
        <v>44</v>
      </c>
      <c r="C15" s="1" t="s">
        <v>69</v>
      </c>
      <c r="D15" s="1" t="s">
        <v>49</v>
      </c>
      <c r="E15" s="1" t="n">
        <v>3000</v>
      </c>
      <c r="F15" s="1" t="s">
        <v>47</v>
      </c>
      <c r="G15" s="1" t="n">
        <v>71.51</v>
      </c>
      <c r="H15" s="0"/>
      <c r="I15" s="1" t="n">
        <v>1520</v>
      </c>
      <c r="J15" s="1" t="n">
        <v>0.138</v>
      </c>
      <c r="K15" s="1" t="n">
        <v>0.201</v>
      </c>
      <c r="L15" s="1" t="n">
        <v>0.33</v>
      </c>
      <c r="M15" s="1" t="n">
        <v>-0.174</v>
      </c>
      <c r="N15" s="1" t="n">
        <v>-0.093</v>
      </c>
      <c r="O15" s="1" t="n">
        <v>0.059</v>
      </c>
      <c r="P15" s="1" t="n">
        <v>-0.257</v>
      </c>
      <c r="Q15" s="1" t="n">
        <v>-0.173</v>
      </c>
      <c r="R15" s="1" t="n">
        <v>-0.05</v>
      </c>
      <c r="S15" s="1" t="n">
        <v>-0.314</v>
      </c>
      <c r="T15" s="1" t="n">
        <v>-0.196</v>
      </c>
      <c r="U15" s="1" t="n">
        <v>-0.113</v>
      </c>
      <c r="V15" s="1" t="n">
        <v>-0.343</v>
      </c>
      <c r="W15" s="1" t="n">
        <v>-0.201</v>
      </c>
      <c r="X15" s="1" t="n">
        <v>-0.136</v>
      </c>
      <c r="Y15" s="1" t="n">
        <v>-0.385</v>
      </c>
      <c r="Z15" s="1" t="n">
        <v>-0.207</v>
      </c>
      <c r="AA15" s="1" t="n">
        <v>-0.035</v>
      </c>
      <c r="AB15" s="1" t="n">
        <v>-0.685</v>
      </c>
      <c r="AC15" s="1" t="n">
        <v>-0.227</v>
      </c>
      <c r="AD15" s="1" t="n">
        <v>-0.018</v>
      </c>
      <c r="AE15" s="8" t="n">
        <f aca="false">IFERROR(AVERAGE(J15,M15,P15), "Fehler")</f>
        <v>-0.0976666666666667</v>
      </c>
      <c r="AF15" s="8" t="n">
        <f aca="false">IFERROR(AVERAGE(K15,N15,Q15), "Fehler")</f>
        <v>-0.0216666666666667</v>
      </c>
      <c r="AG15" s="8" t="n">
        <f aca="false">IFERROR(AVERAGE(L15,O15,R15), "Fehler")</f>
        <v>0.113</v>
      </c>
      <c r="AH15" s="9" t="n">
        <f aca="false">IFERROR(AVERAGE(S15,V15,Y15), "Fehler")</f>
        <v>-0.347333333333333</v>
      </c>
      <c r="AI15" s="9" t="n">
        <f aca="false">IFERROR(AVERAGE(T15,W15,Z15), "Fehler")</f>
        <v>-0.201333333333333</v>
      </c>
      <c r="AJ15" s="9" t="n">
        <f aca="false">IFERROR(AVERAGE(U15,X15,AA15), "Fehler")</f>
        <v>-0.0946666666666667</v>
      </c>
      <c r="AK15" s="10" t="n">
        <f aca="false">IFERROR(AVERAGE(AB15), "Fehler")</f>
        <v>-0.685</v>
      </c>
      <c r="AL15" s="10" t="n">
        <f aca="false">IFERROR(AVERAGE(AC15), "Fehler")</f>
        <v>-0.227</v>
      </c>
      <c r="AM15" s="10" t="n">
        <f aca="false">IFERROR(AVERAGE(AD15), "Fehler")</f>
        <v>-0.018</v>
      </c>
      <c r="AN15" s="8" t="n">
        <f aca="false">SUMPRODUCT(                            ABS(AE15:AG15)) / COUNT(AE15:AG15)</f>
        <v>0.0774444444444444</v>
      </c>
      <c r="AO15" s="9" t="n">
        <f aca="false">SUMPRODUCT(                            ABS(AH15:AJ15)) / COUNT(AH15:AJ15)</f>
        <v>0.214444444444444</v>
      </c>
      <c r="AP15" s="10" t="n">
        <f aca="false">SUMPRODUCT(                            ABS(AK15:AM15)) / COUNT(AK15:AM15)</f>
        <v>0.31</v>
      </c>
      <c r="AQ15" s="11" t="n">
        <f aca="false">SUMPRODUCT(ABS(AN15:AP15)) / COUNT(AN15:AP15)</f>
        <v>0.20062962962963</v>
      </c>
      <c r="AR15" s="15"/>
      <c r="AY15" s="13" t="str">
        <f aca="false">B15 &amp; " " &amp; C15 &amp; " (" &amp; E15 &amp; "A)"</f>
        <v>Celsa ALO 12070 (3000A)</v>
      </c>
    </row>
    <row r="16" customFormat="false" ht="14.15" hidden="false" customHeight="true" outlineLevel="0" collapsed="false">
      <c r="A16" s="1" t="s">
        <v>71</v>
      </c>
      <c r="B16" s="1" t="s">
        <v>44</v>
      </c>
      <c r="C16" s="1" t="s">
        <v>72</v>
      </c>
      <c r="D16" s="1" t="s">
        <v>46</v>
      </c>
      <c r="E16" s="1" t="n">
        <v>3000</v>
      </c>
      <c r="F16" s="1" t="s">
        <v>52</v>
      </c>
      <c r="G16" s="1" t="n">
        <v>346.06</v>
      </c>
      <c r="H16" s="0"/>
      <c r="I16" s="1" t="n">
        <v>1520</v>
      </c>
      <c r="J16" s="1" t="n">
        <v>0.194</v>
      </c>
      <c r="K16" s="1" t="n">
        <v>0.209</v>
      </c>
      <c r="L16" s="1" t="n">
        <v>0.345</v>
      </c>
      <c r="M16" s="1" t="n">
        <v>-0.07</v>
      </c>
      <c r="N16" s="1" t="n">
        <v>-0.009</v>
      </c>
      <c r="O16" s="1" t="n">
        <v>0.11</v>
      </c>
      <c r="P16" s="1" t="n">
        <v>-0.176</v>
      </c>
      <c r="Q16" s="1" t="n">
        <v>-0.099</v>
      </c>
      <c r="R16" s="1" t="n">
        <v>0.001</v>
      </c>
      <c r="S16" s="1" t="n">
        <v>-0.174</v>
      </c>
      <c r="T16" s="1" t="n">
        <v>-0.071</v>
      </c>
      <c r="U16" s="1" t="n">
        <v>-0.031</v>
      </c>
      <c r="V16" s="1" t="n">
        <v>-0.15</v>
      </c>
      <c r="W16" s="1" t="n">
        <v>0.022</v>
      </c>
      <c r="X16" s="1" t="n">
        <v>-0.018</v>
      </c>
      <c r="Y16" s="1" t="n">
        <v>-0.118</v>
      </c>
      <c r="Z16" s="1" t="n">
        <v>0.266</v>
      </c>
      <c r="AA16" s="1" t="n">
        <v>0.012</v>
      </c>
      <c r="AB16" s="1" t="n">
        <v>-0.072</v>
      </c>
      <c r="AC16" s="1" t="n">
        <v>0.929</v>
      </c>
      <c r="AD16" s="1" t="n">
        <v>0.082</v>
      </c>
      <c r="AE16" s="8" t="n">
        <f aca="false">IFERROR(AVERAGE(J16,M16,P16), "Fehler")</f>
        <v>-0.0173333333333333</v>
      </c>
      <c r="AF16" s="8" t="n">
        <f aca="false">IFERROR(AVERAGE(K16,N16,Q16), "Fehler")</f>
        <v>0.0336666666666667</v>
      </c>
      <c r="AG16" s="8" t="n">
        <f aca="false">IFERROR(AVERAGE(L16,O16,R16), "Fehler")</f>
        <v>0.152</v>
      </c>
      <c r="AH16" s="9" t="n">
        <f aca="false">IFERROR(AVERAGE(S16,V16,Y16), "Fehler")</f>
        <v>-0.147333333333333</v>
      </c>
      <c r="AI16" s="9" t="n">
        <f aca="false">IFERROR(AVERAGE(T16,W16,Z16), "Fehler")</f>
        <v>0.0723333333333334</v>
      </c>
      <c r="AJ16" s="9" t="n">
        <f aca="false">IFERROR(AVERAGE(U16,X16,AA16), "Fehler")</f>
        <v>-0.0123333333333333</v>
      </c>
      <c r="AK16" s="10" t="n">
        <f aca="false">IFERROR(AVERAGE(AB16), "Fehler")</f>
        <v>-0.072</v>
      </c>
      <c r="AL16" s="10" t="n">
        <f aca="false">IFERROR(AVERAGE(AC16), "Fehler")</f>
        <v>0.929</v>
      </c>
      <c r="AM16" s="10" t="n">
        <f aca="false">IFERROR(AVERAGE(AD16), "Fehler")</f>
        <v>0.082</v>
      </c>
      <c r="AN16" s="8" t="n">
        <f aca="false">SUMPRODUCT(                            ABS(AE16:AG16)) / COUNT(AE16:AG16)</f>
        <v>0.0676666666666667</v>
      </c>
      <c r="AO16" s="9" t="n">
        <f aca="false">SUMPRODUCT(                            ABS(AH16:AJ16)) / COUNT(AH16:AJ16)</f>
        <v>0.0773333333333333</v>
      </c>
      <c r="AP16" s="10" t="n">
        <f aca="false">SUMPRODUCT(                            ABS(AK16:AM16)) / COUNT(AK16:AM16)</f>
        <v>0.361</v>
      </c>
      <c r="AQ16" s="11" t="n">
        <f aca="false">SUMPRODUCT(ABS(AN16:AP16)) / COUNT(AN16:AP16)</f>
        <v>0.168666666666667</v>
      </c>
      <c r="AR16" s="12" t="n">
        <f aca="false">(1-  AQ17/AQ16)*100</f>
        <v>47.6504172156346</v>
      </c>
      <c r="AY16" s="13" t="str">
        <f aca="false">B16 &amp; " " &amp; C16 &amp; " (" &amp; E16 &amp; "A)"</f>
        <v>Celsa ALO 12070 K (3000A)</v>
      </c>
    </row>
    <row r="17" customFormat="false" ht="14.15" hidden="false" customHeight="true" outlineLevel="0" collapsed="false">
      <c r="A17" s="1" t="s">
        <v>73</v>
      </c>
      <c r="B17" s="1" t="s">
        <v>44</v>
      </c>
      <c r="C17" s="1" t="s">
        <v>72</v>
      </c>
      <c r="D17" s="1" t="s">
        <v>49</v>
      </c>
      <c r="E17" s="1" t="n">
        <v>3000</v>
      </c>
      <c r="F17" s="1" t="s">
        <v>52</v>
      </c>
      <c r="G17" s="1" t="n">
        <v>346.06</v>
      </c>
      <c r="H17" s="0"/>
      <c r="I17" s="1" t="n">
        <v>1520</v>
      </c>
      <c r="J17" s="1" t="n">
        <v>0.273</v>
      </c>
      <c r="K17" s="1" t="n">
        <v>0.296</v>
      </c>
      <c r="L17" s="1" t="n">
        <v>0.338</v>
      </c>
      <c r="M17" s="1" t="n">
        <v>-0.093</v>
      </c>
      <c r="N17" s="1" t="n">
        <v>0.022</v>
      </c>
      <c r="O17" s="1" t="n">
        <v>0.153</v>
      </c>
      <c r="P17" s="1" t="n">
        <v>-0.17</v>
      </c>
      <c r="Q17" s="1" t="n">
        <v>-0.073</v>
      </c>
      <c r="R17" s="1" t="n">
        <v>0.137</v>
      </c>
      <c r="S17" s="1" t="n">
        <v>-0.184</v>
      </c>
      <c r="T17" s="1" t="n">
        <v>-0.108</v>
      </c>
      <c r="U17" s="1" t="n">
        <v>0.169</v>
      </c>
      <c r="V17" s="1" t="n">
        <v>-0.163</v>
      </c>
      <c r="W17" s="1" t="n">
        <v>-0.088</v>
      </c>
      <c r="X17" s="1" t="n">
        <v>-0.037</v>
      </c>
      <c r="Y17" s="1" t="n">
        <v>-0.141</v>
      </c>
      <c r="Z17" s="1" t="n">
        <v>-0.073</v>
      </c>
      <c r="AA17" s="1" t="n">
        <v>-0.045</v>
      </c>
      <c r="AB17" s="1" t="n">
        <v>-0.076</v>
      </c>
      <c r="AC17" s="1" t="n">
        <v>0.097</v>
      </c>
      <c r="AD17" s="1" t="n">
        <v>-0.046</v>
      </c>
      <c r="AE17" s="8" t="n">
        <f aca="false">IFERROR(AVERAGE(J17,M17,P17), "Fehler")</f>
        <v>0.00333333333333334</v>
      </c>
      <c r="AF17" s="8" t="n">
        <f aca="false">IFERROR(AVERAGE(K17,N17,Q17), "Fehler")</f>
        <v>0.0816666666666667</v>
      </c>
      <c r="AG17" s="8" t="n">
        <f aca="false">IFERROR(AVERAGE(L17,O17,R17), "Fehler")</f>
        <v>0.209333333333333</v>
      </c>
      <c r="AH17" s="9" t="n">
        <f aca="false">IFERROR(AVERAGE(S17,V17,Y17), "Fehler")</f>
        <v>-0.162666666666667</v>
      </c>
      <c r="AI17" s="9" t="n">
        <f aca="false">IFERROR(AVERAGE(T17,W17,Z17), "Fehler")</f>
        <v>-0.0896666666666667</v>
      </c>
      <c r="AJ17" s="9" t="n">
        <f aca="false">IFERROR(AVERAGE(U17,X17,AA17), "Fehler")</f>
        <v>0.029</v>
      </c>
      <c r="AK17" s="10" t="n">
        <f aca="false">IFERROR(AVERAGE(AB17), "Fehler")</f>
        <v>-0.076</v>
      </c>
      <c r="AL17" s="10" t="n">
        <f aca="false">IFERROR(AVERAGE(AC17), "Fehler")</f>
        <v>0.097</v>
      </c>
      <c r="AM17" s="10" t="n">
        <f aca="false">IFERROR(AVERAGE(AD17), "Fehler")</f>
        <v>-0.046</v>
      </c>
      <c r="AN17" s="8" t="n">
        <f aca="false">SUMPRODUCT(                            ABS(AE17:AG17)) / COUNT(AE17:AG17)</f>
        <v>0.0981111111111111</v>
      </c>
      <c r="AO17" s="9" t="n">
        <f aca="false">SUMPRODUCT(                            ABS(AH17:AJ17)) / COUNT(AH17:AJ17)</f>
        <v>0.0937777777777778</v>
      </c>
      <c r="AP17" s="10" t="n">
        <f aca="false">SUMPRODUCT(                            ABS(AK17:AM17)) / COUNT(AK17:AM17)</f>
        <v>0.073</v>
      </c>
      <c r="AQ17" s="11" t="n">
        <f aca="false">SUMPRODUCT(ABS(AN17:AP17)) / COUNT(AN17:AP17)</f>
        <v>0.0882962962962963</v>
      </c>
      <c r="AR17" s="15"/>
      <c r="AY17" s="13" t="str">
        <f aca="false">B17 &amp; " " &amp; C17 &amp; " (" &amp; E17 &amp; "A)"</f>
        <v>Celsa ALO 12070 K (3000A)</v>
      </c>
    </row>
    <row r="18" customFormat="false" ht="14.15" hidden="false" customHeight="true" outlineLevel="0" collapsed="false">
      <c r="A18" s="1" t="s">
        <v>74</v>
      </c>
      <c r="B18" s="1" t="s">
        <v>44</v>
      </c>
      <c r="C18" s="1" t="s">
        <v>69</v>
      </c>
      <c r="D18" s="1" t="s">
        <v>46</v>
      </c>
      <c r="E18" s="1" t="n">
        <v>4000</v>
      </c>
      <c r="F18" s="1" t="s">
        <v>47</v>
      </c>
      <c r="G18" s="1" t="n">
        <v>71.51</v>
      </c>
      <c r="H18" s="0"/>
      <c r="I18" s="1" t="n">
        <v>1520</v>
      </c>
      <c r="J18" s="1" t="n">
        <v>0.218</v>
      </c>
      <c r="K18" s="1" t="n">
        <v>0.139</v>
      </c>
      <c r="L18" s="1" t="n">
        <v>0.107</v>
      </c>
      <c r="M18" s="1" t="n">
        <v>-0.034</v>
      </c>
      <c r="N18" s="1" t="n">
        <v>-0.068</v>
      </c>
      <c r="O18" s="1" t="n">
        <v>-0.122</v>
      </c>
      <c r="P18" s="1" t="n">
        <v>-0.117</v>
      </c>
      <c r="Q18" s="1" t="n">
        <v>-0.123</v>
      </c>
      <c r="R18" s="1" t="n">
        <v>-0.163</v>
      </c>
      <c r="S18" s="1" t="n">
        <v>-0.142</v>
      </c>
      <c r="T18" s="1" t="n">
        <v>-0.945</v>
      </c>
      <c r="U18" s="1" t="n">
        <v>-0.201</v>
      </c>
      <c r="V18" s="1" t="n">
        <v>-0.196</v>
      </c>
      <c r="W18" s="1" t="n">
        <v>-2.027</v>
      </c>
      <c r="X18" s="1" t="n">
        <v>-0.361</v>
      </c>
      <c r="Y18" s="1" t="n">
        <v>-0.698</v>
      </c>
      <c r="Z18" s="1" t="n">
        <v>-3.283</v>
      </c>
      <c r="AA18" s="1" t="n">
        <v>-1.218</v>
      </c>
      <c r="AB18" s="1" t="n">
        <v>-3.206</v>
      </c>
      <c r="AC18" s="1" t="n">
        <v>-5.861</v>
      </c>
      <c r="AD18" s="1" t="n">
        <v>-3.835</v>
      </c>
      <c r="AE18" s="8" t="n">
        <f aca="false">IFERROR(AVERAGE(J18,M18,P18), "Fehler")</f>
        <v>0.0223333333333333</v>
      </c>
      <c r="AF18" s="8" t="n">
        <f aca="false">IFERROR(AVERAGE(K18,N18,Q18), "Fehler")</f>
        <v>-0.0173333333333333</v>
      </c>
      <c r="AG18" s="8" t="n">
        <f aca="false">IFERROR(AVERAGE(L18,O18,R18), "Fehler")</f>
        <v>-0.0593333333333333</v>
      </c>
      <c r="AH18" s="9" t="n">
        <f aca="false">IFERROR(AVERAGE(S18,V18,Y18), "Fehler")</f>
        <v>-0.345333333333333</v>
      </c>
      <c r="AI18" s="9" t="n">
        <f aca="false">IFERROR(AVERAGE(T18,W18,Z18), "Fehler")</f>
        <v>-2.085</v>
      </c>
      <c r="AJ18" s="9" t="n">
        <f aca="false">IFERROR(AVERAGE(U18,X18,AA18), "Fehler")</f>
        <v>-0.593333333333333</v>
      </c>
      <c r="AK18" s="10" t="n">
        <f aca="false">IFERROR(AVERAGE(AB18), "Fehler")</f>
        <v>-3.206</v>
      </c>
      <c r="AL18" s="10" t="n">
        <f aca="false">IFERROR(AVERAGE(AC18), "Fehler")</f>
        <v>-5.861</v>
      </c>
      <c r="AM18" s="10" t="n">
        <f aca="false">IFERROR(AVERAGE(AD18), "Fehler")</f>
        <v>-3.835</v>
      </c>
      <c r="AN18" s="8" t="n">
        <f aca="false">SUMPRODUCT(                            ABS(AE18:AG18)) / COUNT(AE18:AG18)</f>
        <v>0.033</v>
      </c>
      <c r="AO18" s="9" t="n">
        <f aca="false">SUMPRODUCT(                            ABS(AH18:AJ18)) / COUNT(AH18:AJ18)</f>
        <v>1.00788888888889</v>
      </c>
      <c r="AP18" s="10" t="n">
        <f aca="false">SUMPRODUCT(                            ABS(AK18:AM18)) / COUNT(AK18:AM18)</f>
        <v>4.30066666666667</v>
      </c>
      <c r="AQ18" s="11" t="n">
        <f aca="false">SUMPRODUCT(ABS(AN18:AP18)) / COUNT(AN18:AP18)</f>
        <v>1.78051851851852</v>
      </c>
      <c r="AR18" s="12" t="n">
        <f aca="false">(1-  AQ19/AQ18)*100</f>
        <v>73.9443358156176</v>
      </c>
      <c r="AY18" s="13" t="str">
        <f aca="false">B18 &amp; " " &amp; C18 &amp; " (" &amp; E18 &amp; "A)"</f>
        <v>Celsa ALO 12070 (4000A)</v>
      </c>
    </row>
    <row r="19" customFormat="false" ht="14.15" hidden="false" customHeight="true" outlineLevel="0" collapsed="false">
      <c r="A19" s="1" t="s">
        <v>75</v>
      </c>
      <c r="B19" s="1" t="s">
        <v>44</v>
      </c>
      <c r="C19" s="1" t="s">
        <v>69</v>
      </c>
      <c r="D19" s="1" t="s">
        <v>49</v>
      </c>
      <c r="E19" s="1" t="n">
        <v>4000</v>
      </c>
      <c r="F19" s="1" t="s">
        <v>47</v>
      </c>
      <c r="G19" s="1" t="n">
        <v>71.51</v>
      </c>
      <c r="H19" s="0"/>
      <c r="I19" s="1" t="n">
        <v>1520</v>
      </c>
      <c r="J19" s="1" t="n">
        <v>0.248</v>
      </c>
      <c r="K19" s="1" t="n">
        <v>0.146</v>
      </c>
      <c r="L19" s="1" t="n">
        <v>0.075</v>
      </c>
      <c r="M19" s="1" t="n">
        <v>-0.044</v>
      </c>
      <c r="N19" s="1" t="n">
        <v>-0.094</v>
      </c>
      <c r="O19" s="1" t="n">
        <v>-0.109</v>
      </c>
      <c r="P19" s="1" t="n">
        <v>-0.117</v>
      </c>
      <c r="Q19" s="1" t="n">
        <v>-0.132</v>
      </c>
      <c r="R19" s="1" t="n">
        <v>-0.174</v>
      </c>
      <c r="S19" s="1" t="n">
        <v>-0.143</v>
      </c>
      <c r="T19" s="1" t="n">
        <v>-0.149</v>
      </c>
      <c r="U19" s="1" t="n">
        <v>-0.19</v>
      </c>
      <c r="V19" s="1" t="n">
        <v>-0.159</v>
      </c>
      <c r="W19" s="1" t="n">
        <v>-0.143</v>
      </c>
      <c r="X19" s="1" t="n">
        <v>-0.208</v>
      </c>
      <c r="Y19" s="1" t="n">
        <v>-0.227</v>
      </c>
      <c r="Z19" s="1" t="n">
        <v>-0.151</v>
      </c>
      <c r="AA19" s="1" t="n">
        <v>-0.302</v>
      </c>
      <c r="AB19" s="1" t="n">
        <v>-1.489</v>
      </c>
      <c r="AC19" s="1" t="n">
        <v>0.291</v>
      </c>
      <c r="AD19" s="1" t="n">
        <v>-1.713</v>
      </c>
      <c r="AE19" s="8" t="n">
        <f aca="false">IFERROR(AVERAGE(J19,M19,P19), "Fehler")</f>
        <v>0.029</v>
      </c>
      <c r="AF19" s="8" t="n">
        <f aca="false">IFERROR(AVERAGE(K19,N19,Q19), "Fehler")</f>
        <v>-0.0266666666666667</v>
      </c>
      <c r="AG19" s="8" t="n">
        <f aca="false">IFERROR(AVERAGE(L19,O19,R19), "Fehler")</f>
        <v>-0.0693333333333333</v>
      </c>
      <c r="AH19" s="9" t="n">
        <f aca="false">IFERROR(AVERAGE(S19,V19,Y19), "Fehler")</f>
        <v>-0.176333333333333</v>
      </c>
      <c r="AI19" s="9" t="n">
        <f aca="false">IFERROR(AVERAGE(T19,W19,Z19), "Fehler")</f>
        <v>-0.147666666666667</v>
      </c>
      <c r="AJ19" s="9" t="n">
        <f aca="false">IFERROR(AVERAGE(U19,X19,AA19), "Fehler")</f>
        <v>-0.233333333333333</v>
      </c>
      <c r="AK19" s="10" t="n">
        <f aca="false">IFERROR(AVERAGE(AB19), "Fehler")</f>
        <v>-1.489</v>
      </c>
      <c r="AL19" s="10" t="n">
        <f aca="false">IFERROR(AVERAGE(AC19), "Fehler")</f>
        <v>0.291</v>
      </c>
      <c r="AM19" s="10" t="n">
        <f aca="false">IFERROR(AVERAGE(AD19), "Fehler")</f>
        <v>-1.713</v>
      </c>
      <c r="AN19" s="8" t="n">
        <f aca="false">SUMPRODUCT(                            ABS(AE19:AG19)) / COUNT(AE19:AG19)</f>
        <v>0.0416666666666667</v>
      </c>
      <c r="AO19" s="9" t="n">
        <f aca="false">SUMPRODUCT(                            ABS(AH19:AJ19)) / COUNT(AH19:AJ19)</f>
        <v>0.185777777777778</v>
      </c>
      <c r="AP19" s="10" t="n">
        <f aca="false">SUMPRODUCT(                            ABS(AK19:AM19)) / COUNT(AK19:AM19)</f>
        <v>1.16433333333333</v>
      </c>
      <c r="AQ19" s="11" t="n">
        <f aca="false">SUMPRODUCT(ABS(AN19:AP19)) / COUNT(AN19:AP19)</f>
        <v>0.463925925925926</v>
      </c>
      <c r="AR19" s="15"/>
      <c r="AY19" s="13" t="str">
        <f aca="false">B19 &amp; " " &amp; C19 &amp; " (" &amp; E19 &amp; "A)"</f>
        <v>Celsa ALO 12070 (4000A)</v>
      </c>
    </row>
    <row r="20" customFormat="false" ht="14.15" hidden="false" customHeight="true" outlineLevel="0" collapsed="false">
      <c r="A20" s="1" t="s">
        <v>76</v>
      </c>
      <c r="B20" s="1" t="s">
        <v>44</v>
      </c>
      <c r="C20" s="1" t="s">
        <v>72</v>
      </c>
      <c r="D20" s="1" t="s">
        <v>46</v>
      </c>
      <c r="E20" s="1" t="n">
        <v>4000</v>
      </c>
      <c r="F20" s="1" t="s">
        <v>52</v>
      </c>
      <c r="G20" s="1" t="n">
        <v>401.91</v>
      </c>
      <c r="H20" s="0"/>
      <c r="I20" s="1" t="n">
        <v>1520</v>
      </c>
      <c r="J20" s="1" t="n">
        <v>0.326</v>
      </c>
      <c r="K20" s="1" t="n">
        <v>0.113</v>
      </c>
      <c r="L20" s="1" t="n">
        <v>0.214</v>
      </c>
      <c r="M20" s="1" t="n">
        <v>0.089</v>
      </c>
      <c r="N20" s="1" t="n">
        <v>-0.114</v>
      </c>
      <c r="O20" s="1" t="n">
        <v>0.026</v>
      </c>
      <c r="P20" s="1" t="n">
        <v>0.041</v>
      </c>
      <c r="Q20" s="1" t="n">
        <v>-0.167</v>
      </c>
      <c r="R20" s="1" t="n">
        <v>-0.041</v>
      </c>
      <c r="S20" s="1" t="n">
        <v>0.044</v>
      </c>
      <c r="T20" s="1" t="n">
        <v>-0.17</v>
      </c>
      <c r="U20" s="1" t="n">
        <v>-0.064</v>
      </c>
      <c r="V20" s="1" t="n">
        <v>0.044</v>
      </c>
      <c r="W20" s="1" t="n">
        <v>-0.175</v>
      </c>
      <c r="X20" s="1" t="n">
        <v>-0.063</v>
      </c>
      <c r="Y20" s="1" t="n">
        <v>0.062</v>
      </c>
      <c r="Z20" s="1" t="n">
        <v>-0.198</v>
      </c>
      <c r="AA20" s="1" t="n">
        <v>-0.054</v>
      </c>
      <c r="AB20" s="1" t="n">
        <v>0.039</v>
      </c>
      <c r="AC20" s="1" t="n">
        <v>-0.582</v>
      </c>
      <c r="AD20" s="1" t="n">
        <v>-0.031</v>
      </c>
      <c r="AE20" s="8" t="n">
        <f aca="false">IFERROR(AVERAGE(J20,M20,P20), "Fehler")</f>
        <v>0.152</v>
      </c>
      <c r="AF20" s="8" t="n">
        <f aca="false">IFERROR(AVERAGE(K20,N20,Q20), "Fehler")</f>
        <v>-0.056</v>
      </c>
      <c r="AG20" s="8" t="n">
        <f aca="false">IFERROR(AVERAGE(L20,O20,R20), "Fehler")</f>
        <v>0.0663333333333333</v>
      </c>
      <c r="AH20" s="9" t="n">
        <f aca="false">IFERROR(AVERAGE(S20,V20,Y20), "Fehler")</f>
        <v>0.05</v>
      </c>
      <c r="AI20" s="9" t="n">
        <f aca="false">IFERROR(AVERAGE(T20,W20,Z20), "Fehler")</f>
        <v>-0.181</v>
      </c>
      <c r="AJ20" s="9" t="n">
        <f aca="false">IFERROR(AVERAGE(U20,X20,AA20), "Fehler")</f>
        <v>-0.0603333333333333</v>
      </c>
      <c r="AK20" s="10" t="n">
        <f aca="false">IFERROR(AVERAGE(AB20), "Fehler")</f>
        <v>0.039</v>
      </c>
      <c r="AL20" s="10" t="n">
        <f aca="false">IFERROR(AVERAGE(AC20), "Fehler")</f>
        <v>-0.582</v>
      </c>
      <c r="AM20" s="10" t="n">
        <f aca="false">IFERROR(AVERAGE(AD20), "Fehler")</f>
        <v>-0.031</v>
      </c>
      <c r="AN20" s="8" t="n">
        <f aca="false">SUMPRODUCT(                            ABS(AE20:AG20)) / COUNT(AE20:AG20)</f>
        <v>0.0914444444444444</v>
      </c>
      <c r="AO20" s="9" t="n">
        <f aca="false">SUMPRODUCT(                            ABS(AH20:AJ20)) / COUNT(AH20:AJ20)</f>
        <v>0.0971111111111111</v>
      </c>
      <c r="AP20" s="10" t="n">
        <f aca="false">SUMPRODUCT(                            ABS(AK20:AM20)) / COUNT(AK20:AM20)</f>
        <v>0.217333333333333</v>
      </c>
      <c r="AQ20" s="11" t="n">
        <f aca="false">SUMPRODUCT(ABS(AN20:AP20)) / COUNT(AN20:AP20)</f>
        <v>0.135296296296296</v>
      </c>
      <c r="AR20" s="12" t="n">
        <f aca="false">(1-  AQ21/AQ20)*100</f>
        <v>-16.6712291267452</v>
      </c>
      <c r="AY20" s="13" t="str">
        <f aca="false">B20 &amp; " " &amp; C20 &amp; " (" &amp; E20 &amp; "A)"</f>
        <v>Celsa ALO 12070 K (4000A)</v>
      </c>
    </row>
    <row r="21" customFormat="false" ht="14.15" hidden="false" customHeight="true" outlineLevel="0" collapsed="false">
      <c r="A21" s="1" t="s">
        <v>77</v>
      </c>
      <c r="B21" s="1" t="s">
        <v>44</v>
      </c>
      <c r="C21" s="1" t="s">
        <v>72</v>
      </c>
      <c r="D21" s="1" t="s">
        <v>49</v>
      </c>
      <c r="E21" s="1" t="n">
        <v>4000</v>
      </c>
      <c r="F21" s="1" t="s">
        <v>52</v>
      </c>
      <c r="G21" s="1" t="n">
        <v>401.91</v>
      </c>
      <c r="H21" s="0"/>
      <c r="I21" s="1" t="n">
        <v>1520</v>
      </c>
      <c r="J21" s="1" t="n">
        <v>0.424</v>
      </c>
      <c r="K21" s="1" t="n">
        <v>0.111</v>
      </c>
      <c r="L21" s="1" t="n">
        <v>0.273</v>
      </c>
      <c r="M21" s="1" t="n">
        <v>0.117</v>
      </c>
      <c r="N21" s="1" t="n">
        <v>-0.068</v>
      </c>
      <c r="O21" s="1" t="n">
        <v>0.039</v>
      </c>
      <c r="P21" s="1" t="n">
        <v>0.05</v>
      </c>
      <c r="Q21" s="1" t="n">
        <v>-0.155</v>
      </c>
      <c r="R21" s="1" t="n">
        <v>-0.033</v>
      </c>
      <c r="S21" s="1" t="n">
        <v>0.041</v>
      </c>
      <c r="T21" s="1" t="n">
        <v>-0.185</v>
      </c>
      <c r="U21" s="1" t="n">
        <v>-0.07</v>
      </c>
      <c r="V21" s="1" t="n">
        <v>0.039</v>
      </c>
      <c r="W21" s="1" t="n">
        <v>-0.189</v>
      </c>
      <c r="X21" s="1" t="n">
        <v>-0.065</v>
      </c>
      <c r="Y21" s="1" t="n">
        <v>0.057</v>
      </c>
      <c r="Z21" s="1" t="n">
        <v>-0.203</v>
      </c>
      <c r="AA21" s="1" t="n">
        <v>-0.067</v>
      </c>
      <c r="AB21" s="1" t="n">
        <v>0.076</v>
      </c>
      <c r="AC21" s="1" t="n">
        <v>-0.651</v>
      </c>
      <c r="AD21" s="1" t="n">
        <v>-0.061</v>
      </c>
      <c r="AE21" s="8" t="n">
        <f aca="false">IFERROR(AVERAGE(J21,M21,P21), "Fehler")</f>
        <v>0.197</v>
      </c>
      <c r="AF21" s="8" t="n">
        <f aca="false">IFERROR(AVERAGE(K21,N21,Q21), "Fehler")</f>
        <v>-0.0373333333333333</v>
      </c>
      <c r="AG21" s="8" t="n">
        <f aca="false">IFERROR(AVERAGE(L21,O21,R21), "Fehler")</f>
        <v>0.093</v>
      </c>
      <c r="AH21" s="9" t="n">
        <f aca="false">IFERROR(AVERAGE(S21,V21,Y21), "Fehler")</f>
        <v>0.0456666666666667</v>
      </c>
      <c r="AI21" s="9" t="n">
        <f aca="false">IFERROR(AVERAGE(T21,W21,Z21), "Fehler")</f>
        <v>-0.192333333333333</v>
      </c>
      <c r="AJ21" s="9" t="n">
        <f aca="false">IFERROR(AVERAGE(U21,X21,AA21), "Fehler")</f>
        <v>-0.0673333333333333</v>
      </c>
      <c r="AK21" s="10" t="n">
        <f aca="false">IFERROR(AVERAGE(AB21), "Fehler")</f>
        <v>0.076</v>
      </c>
      <c r="AL21" s="10" t="n">
        <f aca="false">IFERROR(AVERAGE(AC21), "Fehler")</f>
        <v>-0.651</v>
      </c>
      <c r="AM21" s="10" t="n">
        <f aca="false">IFERROR(AVERAGE(AD21), "Fehler")</f>
        <v>-0.061</v>
      </c>
      <c r="AN21" s="8" t="n">
        <f aca="false">SUMPRODUCT(                            ABS(AE21:AG21)) / COUNT(AE21:AG21)</f>
        <v>0.109111111111111</v>
      </c>
      <c r="AO21" s="9" t="n">
        <f aca="false">SUMPRODUCT(                            ABS(AH21:AJ21)) / COUNT(AH21:AJ21)</f>
        <v>0.101777777777778</v>
      </c>
      <c r="AP21" s="10" t="n">
        <f aca="false">SUMPRODUCT(                            ABS(AK21:AM21)) / COUNT(AK21:AM21)</f>
        <v>0.262666666666667</v>
      </c>
      <c r="AQ21" s="11" t="n">
        <f aca="false">SUMPRODUCT(ABS(AN21:AP21)) / COUNT(AN21:AP21)</f>
        <v>0.157851851851852</v>
      </c>
      <c r="AR21" s="15"/>
      <c r="AY21" s="13" t="str">
        <f aca="false">B21 &amp; " " &amp; C21 &amp; " (" &amp; E21 &amp; "A)"</f>
        <v>Celsa ALO 12070 K (4000A)</v>
      </c>
    </row>
    <row r="22" customFormat="false" ht="14.15" hidden="false" customHeight="true" outlineLevel="0" collapsed="false">
      <c r="AE22" s="8" t="str">
        <f aca="false">IFERROR(AVERAGE(J22,M22,P22), "Fehler")</f>
        <v>Fehler</v>
      </c>
      <c r="AF22" s="8" t="str">
        <f aca="false">IFERROR(AVERAGE(K22,N22,Q22), "Fehler")</f>
        <v>Fehler</v>
      </c>
      <c r="AG22" s="8" t="str">
        <f aca="false">IFERROR(AVERAGE(L22,O22,R22), "Fehler")</f>
        <v>Fehler</v>
      </c>
      <c r="AH22" s="9" t="str">
        <f aca="false">IFERROR(AVERAGE(S22,V22,Y22), "Fehler")</f>
        <v>Fehler</v>
      </c>
      <c r="AI22" s="9" t="str">
        <f aca="false">IFERROR(AVERAGE(T22,W22,Z22), "Fehler")</f>
        <v>Fehler</v>
      </c>
      <c r="AJ22" s="9" t="str">
        <f aca="false">IFERROR(AVERAGE(U22,X22,AA22), "Fehler")</f>
        <v>Fehler</v>
      </c>
      <c r="AK22" s="10" t="str">
        <f aca="false">IFERROR(AVERAGE(AB22), "Fehler")</f>
        <v>Fehler</v>
      </c>
      <c r="AL22" s="10" t="str">
        <f aca="false">IFERROR(AVERAGE(AC22), "Fehler")</f>
        <v>Fehler</v>
      </c>
      <c r="AM22" s="10" t="str">
        <f aca="false">IFERROR(AVERAGE(AD22), "Fehler")</f>
        <v>Fehler</v>
      </c>
      <c r="AN22" s="8" t="e">
        <f aca="false">SUMPRODUCT(                            ABS(AE22:AG22)) / COUNT(AE22:AG22)</f>
        <v>#VALUE!</v>
      </c>
      <c r="AO22" s="9" t="e">
        <f aca="false">SUMPRODUCT(                            ABS(AH22:AJ22)) / COUNT(AH22:AJ22)</f>
        <v>#VALUE!</v>
      </c>
      <c r="AP22" s="10" t="e">
        <f aca="false">SUMPRODUCT(                            ABS(AK22:AM22)) / COUNT(AK22:AM22)</f>
        <v>#VALUE!</v>
      </c>
      <c r="AQ22" s="11" t="e">
        <f aca="false">SUMPRODUCT(ABS(AN22:AP22)) / COUNT(AN22:AP22)</f>
        <v>#VALUE!</v>
      </c>
      <c r="AR22" s="12" t="e">
        <f aca="false">(1-  AQ23/AQ22)*100</f>
        <v>#VALUE!</v>
      </c>
    </row>
    <row r="23" customFormat="false" ht="14.15" hidden="false" customHeight="true" outlineLevel="0" collapsed="false">
      <c r="AE23" s="8" t="str">
        <f aca="false">IFERROR(AVERAGE(J23,M23,P23), "Fehler")</f>
        <v>Fehler</v>
      </c>
      <c r="AF23" s="8" t="str">
        <f aca="false">IFERROR(AVERAGE(K23,N23,Q23), "Fehler")</f>
        <v>Fehler</v>
      </c>
      <c r="AG23" s="8" t="str">
        <f aca="false">IFERROR(AVERAGE(L23,O23,R23), "Fehler")</f>
        <v>Fehler</v>
      </c>
      <c r="AH23" s="9" t="str">
        <f aca="false">IFERROR(AVERAGE(S23,V23,Y23), "Fehler")</f>
        <v>Fehler</v>
      </c>
      <c r="AI23" s="9" t="str">
        <f aca="false">IFERROR(AVERAGE(T23,W23,Z23), "Fehler")</f>
        <v>Fehler</v>
      </c>
      <c r="AJ23" s="9" t="str">
        <f aca="false">IFERROR(AVERAGE(U23,X23,AA23), "Fehler")</f>
        <v>Fehler</v>
      </c>
      <c r="AK23" s="10" t="str">
        <f aca="false">IFERROR(AVERAGE(AB23), "Fehler")</f>
        <v>Fehler</v>
      </c>
      <c r="AL23" s="10" t="str">
        <f aca="false">IFERROR(AVERAGE(AC23), "Fehler")</f>
        <v>Fehler</v>
      </c>
      <c r="AM23" s="10" t="str">
        <f aca="false">IFERROR(AVERAGE(AD23), "Fehler")</f>
        <v>Fehler</v>
      </c>
      <c r="AN23" s="8" t="e">
        <f aca="false">SUMPRODUCT(                            ABS(AE23:AG23)) / COUNT(AE23:AG23)</f>
        <v>#VALUE!</v>
      </c>
      <c r="AO23" s="9" t="e">
        <f aca="false">SUMPRODUCT(                            ABS(AH23:AJ23)) / COUNT(AH23:AJ23)</f>
        <v>#VALUE!</v>
      </c>
      <c r="AP23" s="10" t="e">
        <f aca="false">SUMPRODUCT(                            ABS(AK23:AM23)) / COUNT(AK23:AM23)</f>
        <v>#VALUE!</v>
      </c>
      <c r="AQ23" s="11" t="e">
        <f aca="false">SUMPRODUCT(ABS(AN23:AP23)) / COUNT(AN23:AP23)</f>
        <v>#VALUE!</v>
      </c>
      <c r="AR23" s="15"/>
    </row>
    <row r="24" customFormat="false" ht="14.15" hidden="false" customHeight="true" outlineLevel="0" collapsed="false">
      <c r="A24" s="0" t="s">
        <v>43</v>
      </c>
      <c r="B24" s="0" t="s">
        <v>44</v>
      </c>
      <c r="C24" s="0" t="s">
        <v>45</v>
      </c>
      <c r="D24" s="0" t="s">
        <v>46</v>
      </c>
      <c r="E24" s="0" t="n">
        <v>2000</v>
      </c>
      <c r="F24" s="0" t="s">
        <v>47</v>
      </c>
      <c r="G24" s="0" t="n">
        <v>45.5</v>
      </c>
      <c r="H24" s="0" t="s">
        <v>78</v>
      </c>
      <c r="I24" s="0" t="n">
        <v>634291</v>
      </c>
      <c r="J24" s="0" t="n">
        <v>0.2</v>
      </c>
      <c r="K24" s="0" t="n">
        <v>0.2</v>
      </c>
      <c r="L24" s="0" t="n">
        <v>0.4</v>
      </c>
      <c r="M24" s="0" t="n">
        <v>-0.07</v>
      </c>
      <c r="N24" s="0" t="n">
        <v>-0.01</v>
      </c>
      <c r="O24" s="0" t="n">
        <v>0.08</v>
      </c>
      <c r="P24" s="0"/>
      <c r="Q24" s="0"/>
      <c r="R24" s="0"/>
      <c r="S24" s="0"/>
      <c r="T24" s="0"/>
      <c r="U24" s="0"/>
      <c r="V24" s="0"/>
      <c r="W24" s="0"/>
      <c r="X24" s="0"/>
      <c r="Y24" s="0" t="n">
        <v>-0.48</v>
      </c>
      <c r="Z24" s="0" t="n">
        <v>-1.97</v>
      </c>
      <c r="AA24" s="0" t="n">
        <v>-0.43</v>
      </c>
      <c r="AB24" s="0" t="n">
        <v>-2.67</v>
      </c>
      <c r="AC24" s="0" t="n">
        <v>-4.24</v>
      </c>
      <c r="AD24" s="0" t="n">
        <v>-3.07</v>
      </c>
      <c r="AE24" s="8" t="n">
        <f aca="false">IFERROR(AVERAGE(J24,M24,P24), "Fehler")</f>
        <v>0.065</v>
      </c>
      <c r="AF24" s="8" t="n">
        <f aca="false">IFERROR(AVERAGE(K24,N24,Q24), "Fehler")</f>
        <v>0.095</v>
      </c>
      <c r="AG24" s="8" t="n">
        <f aca="false">IFERROR(AVERAGE(L24,O24,R24), "Fehler")</f>
        <v>0.24</v>
      </c>
      <c r="AH24" s="9" t="n">
        <f aca="false">IFERROR(AVERAGE(S24,V24,Y24), "Fehler")</f>
        <v>-0.48</v>
      </c>
      <c r="AI24" s="9" t="n">
        <f aca="false">IFERROR(AVERAGE(T24,W24,Z24), "Fehler")</f>
        <v>-1.97</v>
      </c>
      <c r="AJ24" s="9" t="n">
        <f aca="false">IFERROR(AVERAGE(U24,X24,AA24), "Fehler")</f>
        <v>-0.43</v>
      </c>
      <c r="AK24" s="10" t="n">
        <f aca="false">IFERROR(AVERAGE(AB24), "Fehler")</f>
        <v>-2.67</v>
      </c>
      <c r="AL24" s="10" t="n">
        <f aca="false">IFERROR(AVERAGE(AC24), "Fehler")</f>
        <v>-4.24</v>
      </c>
      <c r="AM24" s="10" t="n">
        <f aca="false">IFERROR(AVERAGE(AD24), "Fehler")</f>
        <v>-3.07</v>
      </c>
      <c r="AN24" s="8" t="n">
        <f aca="false">SUMPRODUCT(                            ABS(AE24:AG24)) / COUNT(AE24:AG24)</f>
        <v>0.133333333333333</v>
      </c>
      <c r="AO24" s="9" t="n">
        <f aca="false">SUMPRODUCT(                            ABS(AH24:AJ24)) / COUNT(AH24:AJ24)</f>
        <v>0.96</v>
      </c>
      <c r="AP24" s="10" t="n">
        <f aca="false">SUMPRODUCT(                            ABS(AK24:AM24)) / COUNT(AK24:AM24)</f>
        <v>3.32666666666667</v>
      </c>
      <c r="AQ24" s="11" t="n">
        <f aca="false">SUMPRODUCT(ABS(AN24:AP24)) / COUNT(AN24:AP24)</f>
        <v>1.47333333333333</v>
      </c>
      <c r="AR24" s="12" t="n">
        <f aca="false">(1-  AQ25/AQ24)*100</f>
        <v>81.1085972850679</v>
      </c>
    </row>
    <row r="25" customFormat="false" ht="14.15" hidden="false" customHeight="true" outlineLevel="0" collapsed="false">
      <c r="A25" s="0" t="s">
        <v>48</v>
      </c>
      <c r="B25" s="0" t="s">
        <v>44</v>
      </c>
      <c r="C25" s="0" t="s">
        <v>45</v>
      </c>
      <c r="D25" s="0" t="s">
        <v>49</v>
      </c>
      <c r="E25" s="0" t="n">
        <v>2000</v>
      </c>
      <c r="F25" s="0" t="s">
        <v>47</v>
      </c>
      <c r="G25" s="0" t="n">
        <v>45.5</v>
      </c>
      <c r="H25" s="0" t="s">
        <v>78</v>
      </c>
      <c r="I25" s="0" t="n">
        <v>634291</v>
      </c>
      <c r="J25" s="0" t="n">
        <v>0.18</v>
      </c>
      <c r="K25" s="0" t="n">
        <v>0.53</v>
      </c>
      <c r="L25" s="0" t="n">
        <v>0.48</v>
      </c>
      <c r="M25" s="0" t="n">
        <v>-0.1</v>
      </c>
      <c r="N25" s="0" t="n">
        <v>-0.03</v>
      </c>
      <c r="O25" s="0" t="n">
        <v>0.07</v>
      </c>
      <c r="P25" s="0"/>
      <c r="Q25" s="0"/>
      <c r="R25" s="0"/>
      <c r="S25" s="0"/>
      <c r="T25" s="0"/>
      <c r="U25" s="0"/>
      <c r="V25" s="0"/>
      <c r="W25" s="0"/>
      <c r="X25" s="0"/>
      <c r="Y25" s="0" t="n">
        <v>-0.27</v>
      </c>
      <c r="Z25" s="0" t="n">
        <v>-0.21</v>
      </c>
      <c r="AA25" s="0" t="n">
        <v>-0.15</v>
      </c>
      <c r="AB25" s="0" t="n">
        <v>-0.32</v>
      </c>
      <c r="AC25" s="0" t="n">
        <v>-0.23</v>
      </c>
      <c r="AD25" s="0" t="n">
        <v>-0.76</v>
      </c>
      <c r="AE25" s="8" t="n">
        <f aca="false">IFERROR(AVERAGE(J25,M25,P25), "Fehler")</f>
        <v>0.04</v>
      </c>
      <c r="AF25" s="8" t="n">
        <f aca="false">IFERROR(AVERAGE(K25,N25,Q25), "Fehler")</f>
        <v>0.25</v>
      </c>
      <c r="AG25" s="8" t="n">
        <f aca="false">IFERROR(AVERAGE(L25,O25,R25), "Fehler")</f>
        <v>0.275</v>
      </c>
      <c r="AH25" s="9" t="n">
        <f aca="false">IFERROR(AVERAGE(S25,V25,Y25), "Fehler")</f>
        <v>-0.27</v>
      </c>
      <c r="AI25" s="9" t="n">
        <f aca="false">IFERROR(AVERAGE(T25,W25,Z25), "Fehler")</f>
        <v>-0.21</v>
      </c>
      <c r="AJ25" s="9" t="n">
        <f aca="false">IFERROR(AVERAGE(U25,X25,AA25), "Fehler")</f>
        <v>-0.15</v>
      </c>
      <c r="AK25" s="10" t="n">
        <f aca="false">IFERROR(AVERAGE(AB25), "Fehler")</f>
        <v>-0.32</v>
      </c>
      <c r="AL25" s="10" t="n">
        <f aca="false">IFERROR(AVERAGE(AC25), "Fehler")</f>
        <v>-0.23</v>
      </c>
      <c r="AM25" s="10" t="n">
        <f aca="false">IFERROR(AVERAGE(AD25), "Fehler")</f>
        <v>-0.76</v>
      </c>
      <c r="AN25" s="8" t="n">
        <f aca="false">SUMPRODUCT(                            ABS(AE25:AG25)) / COUNT(AE25:AG25)</f>
        <v>0.188333333333333</v>
      </c>
      <c r="AO25" s="9" t="n">
        <f aca="false">SUMPRODUCT(                            ABS(AH25:AJ25)) / COUNT(AH25:AJ25)</f>
        <v>0.21</v>
      </c>
      <c r="AP25" s="10" t="n">
        <f aca="false">SUMPRODUCT(                            ABS(AK25:AM25)) / COUNT(AK25:AM25)</f>
        <v>0.436666666666667</v>
      </c>
      <c r="AQ25" s="11" t="n">
        <f aca="false">SUMPRODUCT(ABS(AN25:AP25)) / COUNT(AN25:AP25)</f>
        <v>0.278333333333333</v>
      </c>
      <c r="AR25" s="15"/>
    </row>
    <row r="26" customFormat="false" ht="14.15" hidden="false" customHeight="true" outlineLevel="0" collapsed="false">
      <c r="A26" s="0" t="s">
        <v>50</v>
      </c>
      <c r="B26" s="0" t="s">
        <v>44</v>
      </c>
      <c r="C26" s="0" t="s">
        <v>51</v>
      </c>
      <c r="D26" s="0" t="s">
        <v>46</v>
      </c>
      <c r="E26" s="0" t="n">
        <v>2000</v>
      </c>
      <c r="F26" s="0" t="s">
        <v>52</v>
      </c>
      <c r="G26" s="0" t="n">
        <v>95.95</v>
      </c>
      <c r="H26" s="0" t="s">
        <v>78</v>
      </c>
      <c r="I26" s="0" t="n">
        <v>710.2</v>
      </c>
      <c r="J26" s="0" t="n">
        <v>0.13</v>
      </c>
      <c r="K26" s="0" t="n">
        <v>0.09</v>
      </c>
      <c r="L26" s="0" t="n">
        <v>0.21</v>
      </c>
      <c r="M26" s="0" t="n">
        <v>-0.22</v>
      </c>
      <c r="N26" s="0" t="n">
        <v>-0.14</v>
      </c>
      <c r="O26" s="0" t="n">
        <v>-0.06</v>
      </c>
      <c r="P26" s="0"/>
      <c r="Q26" s="0"/>
      <c r="R26" s="0"/>
      <c r="S26" s="0"/>
      <c r="T26" s="0"/>
      <c r="U26" s="0"/>
      <c r="V26" s="0"/>
      <c r="W26" s="0"/>
      <c r="X26" s="0"/>
      <c r="Y26" s="0" t="n">
        <v>-0.35</v>
      </c>
      <c r="Z26" s="0" t="n">
        <v>-0.27</v>
      </c>
      <c r="AA26" s="0" t="n">
        <v>-0.2</v>
      </c>
      <c r="AB26" s="0" t="n">
        <v>-0.43</v>
      </c>
      <c r="AC26" s="0" t="n">
        <v>-0.35</v>
      </c>
      <c r="AD26" s="0" t="n">
        <v>-0.22</v>
      </c>
      <c r="AE26" s="8" t="n">
        <f aca="false">IFERROR(AVERAGE(J26,M26,P26), "Fehler")</f>
        <v>-0.045</v>
      </c>
      <c r="AF26" s="8" t="n">
        <f aca="false">IFERROR(AVERAGE(K26,N26,Q26), "Fehler")</f>
        <v>-0.025</v>
      </c>
      <c r="AG26" s="8" t="n">
        <f aca="false">IFERROR(AVERAGE(L26,O26,R26), "Fehler")</f>
        <v>0.075</v>
      </c>
      <c r="AH26" s="9" t="n">
        <f aca="false">IFERROR(AVERAGE(S26,V26,Y26), "Fehler")</f>
        <v>-0.35</v>
      </c>
      <c r="AI26" s="9" t="n">
        <f aca="false">IFERROR(AVERAGE(T26,W26,Z26), "Fehler")</f>
        <v>-0.27</v>
      </c>
      <c r="AJ26" s="9" t="n">
        <f aca="false">IFERROR(AVERAGE(U26,X26,AA26), "Fehler")</f>
        <v>-0.2</v>
      </c>
      <c r="AK26" s="10" t="n">
        <f aca="false">IFERROR(AVERAGE(AB26), "Fehler")</f>
        <v>-0.43</v>
      </c>
      <c r="AL26" s="10" t="n">
        <f aca="false">IFERROR(AVERAGE(AC26), "Fehler")</f>
        <v>-0.35</v>
      </c>
      <c r="AM26" s="10" t="n">
        <f aca="false">IFERROR(AVERAGE(AD26), "Fehler")</f>
        <v>-0.22</v>
      </c>
      <c r="AN26" s="8" t="n">
        <f aca="false">SUMPRODUCT(                            ABS(AE26:AG26)) / COUNT(AE26:AG26)</f>
        <v>0.0483333333333333</v>
      </c>
      <c r="AO26" s="9" t="n">
        <f aca="false">SUMPRODUCT(                            ABS(AH26:AJ26)) / COUNT(AH26:AJ26)</f>
        <v>0.273333333333333</v>
      </c>
      <c r="AP26" s="10" t="n">
        <f aca="false">SUMPRODUCT(                            ABS(AK26:AM26)) / COUNT(AK26:AM26)</f>
        <v>0.333333333333333</v>
      </c>
      <c r="AQ26" s="11" t="n">
        <f aca="false">SUMPRODUCT(ABS(AN26:AP26)) / COUNT(AN26:AP26)</f>
        <v>0.218333333333333</v>
      </c>
      <c r="AR26" s="12" t="n">
        <f aca="false">(1-  AQ27/AQ26)*100</f>
        <v>3.81679389312978</v>
      </c>
    </row>
    <row r="27" customFormat="false" ht="14.15" hidden="false" customHeight="true" outlineLevel="0" collapsed="false">
      <c r="A27" s="0" t="s">
        <v>53</v>
      </c>
      <c r="B27" s="0" t="s">
        <v>44</v>
      </c>
      <c r="C27" s="0" t="s">
        <v>51</v>
      </c>
      <c r="D27" s="0" t="s">
        <v>49</v>
      </c>
      <c r="E27" s="0" t="n">
        <v>2000</v>
      </c>
      <c r="F27" s="0" t="s">
        <v>52</v>
      </c>
      <c r="G27" s="0" t="n">
        <v>95.95</v>
      </c>
      <c r="H27" s="0" t="s">
        <v>78</v>
      </c>
      <c r="I27" s="0" t="n">
        <v>710.2</v>
      </c>
      <c r="J27" s="0" t="n">
        <v>0.11</v>
      </c>
      <c r="K27" s="0" t="n">
        <v>0.22</v>
      </c>
      <c r="L27" s="0" t="n">
        <v>0.23</v>
      </c>
      <c r="M27" s="0" t="n">
        <v>-0.12</v>
      </c>
      <c r="N27" s="0" t="n">
        <v>-0.13</v>
      </c>
      <c r="O27" s="0" t="n">
        <v>-0.11</v>
      </c>
      <c r="P27" s="0"/>
      <c r="Q27" s="0"/>
      <c r="R27" s="0"/>
      <c r="S27" s="0"/>
      <c r="T27" s="0"/>
      <c r="U27" s="0"/>
      <c r="V27" s="0"/>
      <c r="W27" s="0"/>
      <c r="X27" s="0"/>
      <c r="Y27" s="0" t="n">
        <v>-0.31</v>
      </c>
      <c r="Z27" s="0" t="n">
        <v>-0.28</v>
      </c>
      <c r="AA27" s="0" t="n">
        <v>-0.25</v>
      </c>
      <c r="AB27" s="0" t="n">
        <v>-0.34</v>
      </c>
      <c r="AC27" s="0" t="n">
        <v>-0.3</v>
      </c>
      <c r="AD27" s="0" t="n">
        <v>-0.3</v>
      </c>
      <c r="AE27" s="8" t="n">
        <f aca="false">IFERROR(AVERAGE(J27,M27,P27), "Fehler")</f>
        <v>-0.005</v>
      </c>
      <c r="AF27" s="8" t="n">
        <f aca="false">IFERROR(AVERAGE(K27,N27,Q27), "Fehler")</f>
        <v>0.045</v>
      </c>
      <c r="AG27" s="8" t="n">
        <f aca="false">IFERROR(AVERAGE(L27,O27,R27), "Fehler")</f>
        <v>0.06</v>
      </c>
      <c r="AH27" s="9" t="n">
        <f aca="false">IFERROR(AVERAGE(S27,V27,Y27), "Fehler")</f>
        <v>-0.31</v>
      </c>
      <c r="AI27" s="9" t="n">
        <f aca="false">IFERROR(AVERAGE(T27,W27,Z27), "Fehler")</f>
        <v>-0.28</v>
      </c>
      <c r="AJ27" s="9" t="n">
        <f aca="false">IFERROR(AVERAGE(U27,X27,AA27), "Fehler")</f>
        <v>-0.25</v>
      </c>
      <c r="AK27" s="10" t="n">
        <f aca="false">IFERROR(AVERAGE(AB27), "Fehler")</f>
        <v>-0.34</v>
      </c>
      <c r="AL27" s="10" t="n">
        <f aca="false">IFERROR(AVERAGE(AC27), "Fehler")</f>
        <v>-0.3</v>
      </c>
      <c r="AM27" s="10" t="n">
        <f aca="false">IFERROR(AVERAGE(AD27), "Fehler")</f>
        <v>-0.3</v>
      </c>
      <c r="AN27" s="8" t="n">
        <f aca="false">SUMPRODUCT(                            ABS(AE27:AG27)) / COUNT(AE27:AG27)</f>
        <v>0.0366666666666667</v>
      </c>
      <c r="AO27" s="9" t="n">
        <f aca="false">SUMPRODUCT(                            ABS(AH27:AJ27)) / COUNT(AH27:AJ27)</f>
        <v>0.28</v>
      </c>
      <c r="AP27" s="10" t="n">
        <f aca="false">SUMPRODUCT(                            ABS(AK27:AM27)) / COUNT(AK27:AM27)</f>
        <v>0.313333333333333</v>
      </c>
      <c r="AQ27" s="11" t="n">
        <f aca="false">SUMPRODUCT(ABS(AN27:AP27)) / COUNT(AN27:AP27)</f>
        <v>0.21</v>
      </c>
      <c r="AR27" s="15"/>
    </row>
    <row r="28" customFormat="false" ht="14.15" hidden="false" customHeight="true" outlineLevel="0" collapsed="false">
      <c r="A28" s="0" t="s">
        <v>54</v>
      </c>
      <c r="B28" s="0" t="s">
        <v>55</v>
      </c>
      <c r="C28" s="0" t="s">
        <v>56</v>
      </c>
      <c r="D28" s="0" t="s">
        <v>46</v>
      </c>
      <c r="E28" s="0" t="n">
        <v>2000</v>
      </c>
      <c r="F28" s="0" t="s">
        <v>47</v>
      </c>
      <c r="G28" s="0" t="n">
        <v>43.67</v>
      </c>
      <c r="H28" s="0" t="s">
        <v>78</v>
      </c>
      <c r="I28" s="0" t="n">
        <v>733.2</v>
      </c>
      <c r="J28" s="0" t="n">
        <v>0.13</v>
      </c>
      <c r="K28" s="0" t="n">
        <v>0.09</v>
      </c>
      <c r="L28" s="0" t="n">
        <v>0.21</v>
      </c>
      <c r="M28" s="0" t="n">
        <v>-0.22</v>
      </c>
      <c r="N28" s="0" t="n">
        <v>-0.14</v>
      </c>
      <c r="O28" s="0" t="n">
        <v>-0.06</v>
      </c>
      <c r="P28" s="0"/>
      <c r="Q28" s="0"/>
      <c r="R28" s="0"/>
      <c r="S28" s="0"/>
      <c r="T28" s="0"/>
      <c r="U28" s="0"/>
      <c r="V28" s="0"/>
      <c r="W28" s="0"/>
      <c r="X28" s="0"/>
      <c r="Y28" s="0" t="n">
        <v>-0.35</v>
      </c>
      <c r="Z28" s="0" t="n">
        <v>-0.27</v>
      </c>
      <c r="AA28" s="0" t="n">
        <v>-0.2</v>
      </c>
      <c r="AB28" s="0" t="n">
        <v>-0.43</v>
      </c>
      <c r="AC28" s="0" t="n">
        <v>-0.36</v>
      </c>
      <c r="AD28" s="0" t="n">
        <v>-0.22</v>
      </c>
      <c r="AE28" s="8" t="n">
        <f aca="false">IFERROR(AVERAGE(J28,M28,P28), "Fehler")</f>
        <v>-0.045</v>
      </c>
      <c r="AF28" s="8" t="n">
        <f aca="false">IFERROR(AVERAGE(K28,N28,Q28), "Fehler")</f>
        <v>-0.025</v>
      </c>
      <c r="AG28" s="8" t="n">
        <f aca="false">IFERROR(AVERAGE(L28,O28,R28), "Fehler")</f>
        <v>0.075</v>
      </c>
      <c r="AH28" s="9" t="n">
        <f aca="false">IFERROR(AVERAGE(S28,V28,Y28), "Fehler")</f>
        <v>-0.35</v>
      </c>
      <c r="AI28" s="9" t="n">
        <f aca="false">IFERROR(AVERAGE(T28,W28,Z28), "Fehler")</f>
        <v>-0.27</v>
      </c>
      <c r="AJ28" s="9" t="n">
        <f aca="false">IFERROR(AVERAGE(U28,X28,AA28), "Fehler")</f>
        <v>-0.2</v>
      </c>
      <c r="AK28" s="10" t="n">
        <f aca="false">IFERROR(AVERAGE(AB28), "Fehler")</f>
        <v>-0.43</v>
      </c>
      <c r="AL28" s="10" t="n">
        <f aca="false">IFERROR(AVERAGE(AC28), "Fehler")</f>
        <v>-0.36</v>
      </c>
      <c r="AM28" s="10" t="n">
        <f aca="false">IFERROR(AVERAGE(AD28), "Fehler")</f>
        <v>-0.22</v>
      </c>
      <c r="AN28" s="8" t="n">
        <f aca="false">SUMPRODUCT(                            ABS(AE28:AG28)) / COUNT(AE28:AG28)</f>
        <v>0.0483333333333333</v>
      </c>
      <c r="AO28" s="9" t="n">
        <f aca="false">SUMPRODUCT(                            ABS(AH28:AJ28)) / COUNT(AH28:AJ28)</f>
        <v>0.273333333333333</v>
      </c>
      <c r="AP28" s="10" t="n">
        <f aca="false">SUMPRODUCT(                            ABS(AK28:AM28)) / COUNT(AK28:AM28)</f>
        <v>0.336666666666667</v>
      </c>
      <c r="AQ28" s="11" t="n">
        <f aca="false">SUMPRODUCT(ABS(AN28:AP28)) / COUNT(AN28:AP28)</f>
        <v>0.219444444444444</v>
      </c>
      <c r="AR28" s="12" t="n">
        <f aca="false">(1-  AQ29/AQ28)*100</f>
        <v>16.9620253164557</v>
      </c>
    </row>
    <row r="29" customFormat="false" ht="14.15" hidden="false" customHeight="true" outlineLevel="0" collapsed="false">
      <c r="A29" s="0" t="s">
        <v>57</v>
      </c>
      <c r="B29" s="0" t="s">
        <v>55</v>
      </c>
      <c r="C29" s="0" t="s">
        <v>56</v>
      </c>
      <c r="D29" s="0" t="s">
        <v>49</v>
      </c>
      <c r="E29" s="0" t="n">
        <v>2000</v>
      </c>
      <c r="F29" s="0" t="s">
        <v>47</v>
      </c>
      <c r="G29" s="0" t="n">
        <v>43.67</v>
      </c>
      <c r="H29" s="0" t="s">
        <v>78</v>
      </c>
      <c r="I29" s="0" t="n">
        <v>733.2</v>
      </c>
      <c r="J29" s="0" t="n">
        <v>0.13</v>
      </c>
      <c r="K29" s="0" t="n">
        <v>-0.28</v>
      </c>
      <c r="L29" s="0" t="n">
        <v>0.02</v>
      </c>
      <c r="M29" s="0" t="n">
        <v>-0.1</v>
      </c>
      <c r="N29" s="0" t="n">
        <v>-0.25</v>
      </c>
      <c r="O29" s="0" t="n">
        <v>-0.04</v>
      </c>
      <c r="P29" s="0"/>
      <c r="Q29" s="0"/>
      <c r="R29" s="0"/>
      <c r="S29" s="0"/>
      <c r="T29" s="0"/>
      <c r="U29" s="0"/>
      <c r="V29" s="0"/>
      <c r="W29" s="0"/>
      <c r="X29" s="0"/>
      <c r="Y29" s="0" t="n">
        <v>-0.28</v>
      </c>
      <c r="Z29" s="0" t="n">
        <v>-0.2</v>
      </c>
      <c r="AA29" s="0" t="n">
        <v>-0.16</v>
      </c>
      <c r="AB29" s="0" t="n">
        <v>-0.31</v>
      </c>
      <c r="AC29" s="0" t="n">
        <v>-0.23</v>
      </c>
      <c r="AD29" s="0" t="n">
        <v>-0.17</v>
      </c>
      <c r="AE29" s="8" t="n">
        <f aca="false">IFERROR(AVERAGE(J29,M29,P29), "Fehler")</f>
        <v>0.015</v>
      </c>
      <c r="AF29" s="8" t="n">
        <f aca="false">IFERROR(AVERAGE(K29,N29,Q29), "Fehler")</f>
        <v>-0.265</v>
      </c>
      <c r="AG29" s="8" t="n">
        <f aca="false">IFERROR(AVERAGE(L29,O29,R29), "Fehler")</f>
        <v>-0.01</v>
      </c>
      <c r="AH29" s="9" t="n">
        <f aca="false">IFERROR(AVERAGE(S29,V29,Y29), "Fehler")</f>
        <v>-0.28</v>
      </c>
      <c r="AI29" s="9" t="n">
        <f aca="false">IFERROR(AVERAGE(T29,W29,Z29), "Fehler")</f>
        <v>-0.2</v>
      </c>
      <c r="AJ29" s="9" t="n">
        <f aca="false">IFERROR(AVERAGE(U29,X29,AA29), "Fehler")</f>
        <v>-0.16</v>
      </c>
      <c r="AK29" s="10" t="n">
        <f aca="false">IFERROR(AVERAGE(AB29), "Fehler")</f>
        <v>-0.31</v>
      </c>
      <c r="AL29" s="10" t="n">
        <f aca="false">IFERROR(AVERAGE(AC29), "Fehler")</f>
        <v>-0.23</v>
      </c>
      <c r="AM29" s="10" t="n">
        <f aca="false">IFERROR(AVERAGE(AD29), "Fehler")</f>
        <v>-0.17</v>
      </c>
      <c r="AN29" s="8" t="n">
        <f aca="false">SUMPRODUCT(                            ABS(AE29:AG29)) / COUNT(AE29:AG29)</f>
        <v>0.0966666666666667</v>
      </c>
      <c r="AO29" s="9" t="n">
        <f aca="false">SUMPRODUCT(                            ABS(AH29:AJ29)) / COUNT(AH29:AJ29)</f>
        <v>0.213333333333333</v>
      </c>
      <c r="AP29" s="10" t="n">
        <f aca="false">SUMPRODUCT(                            ABS(AK29:AM29)) / COUNT(AK29:AM29)</f>
        <v>0.236666666666667</v>
      </c>
      <c r="AQ29" s="11" t="n">
        <f aca="false">SUMPRODUCT(ABS(AN29:AP29)) / COUNT(AN29:AP29)</f>
        <v>0.182222222222222</v>
      </c>
      <c r="AR29" s="15"/>
    </row>
    <row r="30" customFormat="false" ht="14.15" hidden="false" customHeight="true" outlineLevel="0" collapsed="false">
      <c r="A30" s="0" t="s">
        <v>79</v>
      </c>
      <c r="B30" s="0" t="s">
        <v>59</v>
      </c>
      <c r="C30" s="0" t="s">
        <v>60</v>
      </c>
      <c r="D30" s="0" t="s">
        <v>46</v>
      </c>
      <c r="E30" s="0" t="n">
        <v>2000</v>
      </c>
      <c r="F30" s="0" t="s">
        <v>80</v>
      </c>
      <c r="G30" s="0" t="n">
        <v>146.01</v>
      </c>
      <c r="H30" s="0" t="s">
        <v>81</v>
      </c>
      <c r="I30" s="0" t="n">
        <v>778.73</v>
      </c>
      <c r="J30" s="0" t="n">
        <v>0.38</v>
      </c>
      <c r="K30" s="0" t="n">
        <v>0.45</v>
      </c>
      <c r="L30" s="0" t="n">
        <v>0.41</v>
      </c>
      <c r="M30" s="0" t="n">
        <v>0.06</v>
      </c>
      <c r="N30" s="0" t="n">
        <v>0.11</v>
      </c>
      <c r="O30" s="0" t="n">
        <v>0.15</v>
      </c>
      <c r="P30" s="0"/>
      <c r="Q30" s="0"/>
      <c r="R30" s="0"/>
      <c r="S30" s="0"/>
      <c r="T30" s="0"/>
      <c r="U30" s="0"/>
      <c r="V30" s="0"/>
      <c r="W30" s="0"/>
      <c r="X30" s="0"/>
      <c r="Y30" s="0" t="n">
        <v>-0.08</v>
      </c>
      <c r="Z30" s="0" t="n">
        <v>-0.03</v>
      </c>
      <c r="AA30" s="0" t="n">
        <v>0.02</v>
      </c>
      <c r="AB30" s="0" t="n">
        <v>-0.1</v>
      </c>
      <c r="AC30" s="0" t="n">
        <v>-0.51</v>
      </c>
      <c r="AD30" s="0" t="n">
        <v>-0.01</v>
      </c>
      <c r="AE30" s="8" t="n">
        <f aca="false">IFERROR(AVERAGE(J30,M30,P30), "Fehler")</f>
        <v>0.22</v>
      </c>
      <c r="AF30" s="8" t="n">
        <f aca="false">IFERROR(AVERAGE(K30,N30,Q30), "Fehler")</f>
        <v>0.28</v>
      </c>
      <c r="AG30" s="8" t="n">
        <f aca="false">IFERROR(AVERAGE(L30,O30,R30), "Fehler")</f>
        <v>0.28</v>
      </c>
      <c r="AH30" s="9" t="n">
        <f aca="false">IFERROR(AVERAGE(S30,V30,Y30), "Fehler")</f>
        <v>-0.08</v>
      </c>
      <c r="AI30" s="9" t="n">
        <f aca="false">IFERROR(AVERAGE(T30,W30,Z30), "Fehler")</f>
        <v>-0.03</v>
      </c>
      <c r="AJ30" s="9" t="n">
        <f aca="false">IFERROR(AVERAGE(U30,X30,AA30), "Fehler")</f>
        <v>0.02</v>
      </c>
      <c r="AK30" s="10" t="n">
        <f aca="false">IFERROR(AVERAGE(AB30), "Fehler")</f>
        <v>-0.1</v>
      </c>
      <c r="AL30" s="10" t="n">
        <f aca="false">IFERROR(AVERAGE(AC30), "Fehler")</f>
        <v>-0.51</v>
      </c>
      <c r="AM30" s="10" t="n">
        <f aca="false">IFERROR(AVERAGE(AD30), "Fehler")</f>
        <v>-0.01</v>
      </c>
      <c r="AN30" s="8" t="n">
        <f aca="false">SUMPRODUCT(                            ABS(AE30:AG30)) / COUNT(AE30:AG30)</f>
        <v>0.26</v>
      </c>
      <c r="AO30" s="9" t="n">
        <f aca="false">SUMPRODUCT(                            ABS(AH30:AJ30)) / COUNT(AH30:AJ30)</f>
        <v>0.0433333333333333</v>
      </c>
      <c r="AP30" s="10" t="n">
        <f aca="false">SUMPRODUCT(                            ABS(AK30:AM30)) / COUNT(AK30:AM30)</f>
        <v>0.206666666666667</v>
      </c>
      <c r="AQ30" s="11" t="n">
        <f aca="false">SUMPRODUCT(ABS(AN30:AP30)) / COUNT(AN30:AP30)</f>
        <v>0.17</v>
      </c>
      <c r="AR30" s="12" t="n">
        <f aca="false">(1-  AQ31/AQ30)*100</f>
        <v>0</v>
      </c>
    </row>
    <row r="31" customFormat="false" ht="14.15" hidden="false" customHeight="true" outlineLevel="0" collapsed="false">
      <c r="A31" s="0" t="s">
        <v>58</v>
      </c>
      <c r="B31" s="0" t="s">
        <v>59</v>
      </c>
      <c r="C31" s="0" t="s">
        <v>60</v>
      </c>
      <c r="D31" s="0" t="s">
        <v>46</v>
      </c>
      <c r="E31" s="0" t="n">
        <v>2000</v>
      </c>
      <c r="F31" s="0" t="s">
        <v>61</v>
      </c>
      <c r="G31" s="0" t="n">
        <v>146.01</v>
      </c>
      <c r="H31" s="0" t="s">
        <v>78</v>
      </c>
      <c r="I31" s="0" t="n">
        <v>778.73</v>
      </c>
      <c r="J31" s="0" t="n">
        <v>0.38</v>
      </c>
      <c r="K31" s="0" t="n">
        <v>0.45</v>
      </c>
      <c r="L31" s="0" t="n">
        <v>0.41</v>
      </c>
      <c r="M31" s="0" t="n">
        <v>0.06</v>
      </c>
      <c r="N31" s="0" t="n">
        <v>0.11</v>
      </c>
      <c r="O31" s="0" t="n">
        <v>0.15</v>
      </c>
      <c r="P31" s="0"/>
      <c r="Q31" s="0"/>
      <c r="R31" s="0"/>
      <c r="S31" s="0"/>
      <c r="T31" s="0"/>
      <c r="U31" s="0"/>
      <c r="V31" s="0"/>
      <c r="W31" s="0"/>
      <c r="X31" s="0"/>
      <c r="Y31" s="0" t="n">
        <v>-0.08</v>
      </c>
      <c r="Z31" s="0" t="n">
        <v>-0.03</v>
      </c>
      <c r="AA31" s="0" t="n">
        <v>0.02</v>
      </c>
      <c r="AB31" s="0" t="n">
        <v>-0.1</v>
      </c>
      <c r="AC31" s="0" t="n">
        <v>-0.51</v>
      </c>
      <c r="AD31" s="0" t="n">
        <v>-0.01</v>
      </c>
      <c r="AE31" s="8" t="n">
        <f aca="false">IFERROR(AVERAGE(J31,M31,P31), "Fehler")</f>
        <v>0.22</v>
      </c>
      <c r="AF31" s="8" t="n">
        <f aca="false">IFERROR(AVERAGE(K31,N31,Q31), "Fehler")</f>
        <v>0.28</v>
      </c>
      <c r="AG31" s="8" t="n">
        <f aca="false">IFERROR(AVERAGE(L31,O31,R31), "Fehler")</f>
        <v>0.28</v>
      </c>
      <c r="AH31" s="9" t="n">
        <f aca="false">IFERROR(AVERAGE(S31,V31,Y31), "Fehler")</f>
        <v>-0.08</v>
      </c>
      <c r="AI31" s="9" t="n">
        <f aca="false">IFERROR(AVERAGE(T31,W31,Z31), "Fehler")</f>
        <v>-0.03</v>
      </c>
      <c r="AJ31" s="9" t="n">
        <f aca="false">IFERROR(AVERAGE(U31,X31,AA31), "Fehler")</f>
        <v>0.02</v>
      </c>
      <c r="AK31" s="10" t="n">
        <f aca="false">IFERROR(AVERAGE(AB31), "Fehler")</f>
        <v>-0.1</v>
      </c>
      <c r="AL31" s="10" t="n">
        <f aca="false">IFERROR(AVERAGE(AC31), "Fehler")</f>
        <v>-0.51</v>
      </c>
      <c r="AM31" s="10" t="n">
        <f aca="false">IFERROR(AVERAGE(AD31), "Fehler")</f>
        <v>-0.01</v>
      </c>
      <c r="AN31" s="8" t="n">
        <f aca="false">SUMPRODUCT(                            ABS(AE31:AG31)) / COUNT(AE31:AG31)</f>
        <v>0.26</v>
      </c>
      <c r="AO31" s="9" t="n">
        <f aca="false">SUMPRODUCT(                            ABS(AH31:AJ31)) / COUNT(AH31:AJ31)</f>
        <v>0.0433333333333333</v>
      </c>
      <c r="AP31" s="10" t="n">
        <f aca="false">SUMPRODUCT(                            ABS(AK31:AM31)) / COUNT(AK31:AM31)</f>
        <v>0.206666666666667</v>
      </c>
      <c r="AQ31" s="11" t="n">
        <f aca="false">SUMPRODUCT(ABS(AN31:AP31)) / COUNT(AN31:AP31)</f>
        <v>0.17</v>
      </c>
      <c r="AR31" s="15"/>
    </row>
    <row r="32" customFormat="false" ht="14.15" hidden="false" customHeight="true" outlineLevel="0" collapsed="false">
      <c r="A32" s="0" t="s">
        <v>82</v>
      </c>
      <c r="B32" s="0" t="s">
        <v>59</v>
      </c>
      <c r="C32" s="0" t="s">
        <v>60</v>
      </c>
      <c r="D32" s="0" t="s">
        <v>46</v>
      </c>
      <c r="E32" s="0" t="n">
        <v>2000</v>
      </c>
      <c r="F32" s="0" t="s">
        <v>83</v>
      </c>
      <c r="G32" s="0" t="n">
        <v>146.01</v>
      </c>
      <c r="H32" s="0" t="s">
        <v>81</v>
      </c>
      <c r="I32" s="0" t="n">
        <v>778.73</v>
      </c>
      <c r="J32" s="0" t="n">
        <v>0.66</v>
      </c>
      <c r="K32" s="0" t="n">
        <v>0.67</v>
      </c>
      <c r="L32" s="0" t="n">
        <v>0.63</v>
      </c>
      <c r="M32" s="0" t="n">
        <v>0.16</v>
      </c>
      <c r="N32" s="0" t="n">
        <v>0.27</v>
      </c>
      <c r="O32" s="0" t="n">
        <v>0.26</v>
      </c>
      <c r="P32" s="0"/>
      <c r="Q32" s="0"/>
      <c r="R32" s="0"/>
      <c r="S32" s="0"/>
      <c r="T32" s="0"/>
      <c r="U32" s="0"/>
      <c r="V32" s="0"/>
      <c r="W32" s="0"/>
      <c r="X32" s="0"/>
      <c r="Y32" s="0" t="n">
        <v>-0.01</v>
      </c>
      <c r="Z32" s="0" t="n">
        <v>0.06</v>
      </c>
      <c r="AA32" s="0" t="n">
        <v>0.09</v>
      </c>
      <c r="AB32" s="0" t="n">
        <v>-0.02</v>
      </c>
      <c r="AC32" s="0" t="n">
        <v>0.04</v>
      </c>
      <c r="AD32" s="0" t="n">
        <v>0.07</v>
      </c>
      <c r="AE32" s="8" t="n">
        <f aca="false">IFERROR(AVERAGE(J32,M32,P32), "Fehler")</f>
        <v>0.41</v>
      </c>
      <c r="AF32" s="8" t="n">
        <f aca="false">IFERROR(AVERAGE(K32,N32,Q32), "Fehler")</f>
        <v>0.47</v>
      </c>
      <c r="AG32" s="8" t="n">
        <f aca="false">IFERROR(AVERAGE(L32,O32,R32), "Fehler")</f>
        <v>0.445</v>
      </c>
      <c r="AH32" s="9" t="n">
        <f aca="false">IFERROR(AVERAGE(S32,V32,Y32), "Fehler")</f>
        <v>-0.01</v>
      </c>
      <c r="AI32" s="9" t="n">
        <f aca="false">IFERROR(AVERAGE(T32,W32,Z32), "Fehler")</f>
        <v>0.06</v>
      </c>
      <c r="AJ32" s="9" t="n">
        <f aca="false">IFERROR(AVERAGE(U32,X32,AA32), "Fehler")</f>
        <v>0.09</v>
      </c>
      <c r="AK32" s="10" t="n">
        <f aca="false">IFERROR(AVERAGE(AB32), "Fehler")</f>
        <v>-0.02</v>
      </c>
      <c r="AL32" s="10" t="n">
        <f aca="false">IFERROR(AVERAGE(AC32), "Fehler")</f>
        <v>0.04</v>
      </c>
      <c r="AM32" s="10" t="n">
        <f aca="false">IFERROR(AVERAGE(AD32), "Fehler")</f>
        <v>0.07</v>
      </c>
      <c r="AN32" s="8" t="n">
        <f aca="false">SUMPRODUCT(                            ABS(AE32:AG32)) / COUNT(AE32:AG32)</f>
        <v>0.441666666666667</v>
      </c>
      <c r="AO32" s="9" t="n">
        <f aca="false">SUMPRODUCT(                            ABS(AH32:AJ32)) / COUNT(AH32:AJ32)</f>
        <v>0.0533333333333333</v>
      </c>
      <c r="AP32" s="10" t="n">
        <f aca="false">SUMPRODUCT(                            ABS(AK32:AM32)) / COUNT(AK32:AM32)</f>
        <v>0.0433333333333333</v>
      </c>
      <c r="AQ32" s="11" t="n">
        <f aca="false">SUMPRODUCT(ABS(AN32:AP32)) / COUNT(AN32:AP32)</f>
        <v>0.179444444444444</v>
      </c>
      <c r="AR32" s="12" t="n">
        <f aca="false">(1-  AQ33/AQ32)*100</f>
        <v>-73.9938080495356</v>
      </c>
    </row>
    <row r="33" customFormat="false" ht="14.15" hidden="false" customHeight="true" outlineLevel="0" collapsed="false">
      <c r="A33" s="0" t="s">
        <v>84</v>
      </c>
      <c r="B33" s="0" t="s">
        <v>59</v>
      </c>
      <c r="C33" s="0" t="s">
        <v>60</v>
      </c>
      <c r="D33" s="0" t="s">
        <v>49</v>
      </c>
      <c r="E33" s="0" t="n">
        <v>2000</v>
      </c>
      <c r="F33" s="0" t="s">
        <v>80</v>
      </c>
      <c r="G33" s="0" t="n">
        <v>146.01</v>
      </c>
      <c r="H33" s="0" t="s">
        <v>81</v>
      </c>
      <c r="I33" s="0" t="n">
        <v>778.73</v>
      </c>
      <c r="J33" s="0" t="n">
        <v>0.47</v>
      </c>
      <c r="K33" s="0" t="n">
        <v>0.34</v>
      </c>
      <c r="L33" s="0" t="n">
        <v>0.47</v>
      </c>
      <c r="M33" s="0" t="n">
        <v>0.02</v>
      </c>
      <c r="N33" s="0" t="n">
        <v>0.09</v>
      </c>
      <c r="O33" s="0" t="n">
        <v>0.11</v>
      </c>
      <c r="P33" s="0"/>
      <c r="Q33" s="0"/>
      <c r="R33" s="0"/>
      <c r="S33" s="0"/>
      <c r="T33" s="0"/>
      <c r="U33" s="0"/>
      <c r="V33" s="0"/>
      <c r="W33" s="0"/>
      <c r="X33" s="0"/>
      <c r="Y33" s="0" t="n">
        <v>-0.12</v>
      </c>
      <c r="Z33" s="0" t="n">
        <v>-0.09</v>
      </c>
      <c r="AA33" s="0" t="n">
        <v>0.13</v>
      </c>
      <c r="AB33" s="0" t="n">
        <v>-0.12</v>
      </c>
      <c r="AC33" s="0" t="n">
        <v>-1.53</v>
      </c>
      <c r="AD33" s="0" t="n">
        <v>-0.07</v>
      </c>
      <c r="AE33" s="8" t="n">
        <f aca="false">IFERROR(AVERAGE(J33,M33,P33), "Fehler")</f>
        <v>0.245</v>
      </c>
      <c r="AF33" s="8" t="n">
        <f aca="false">IFERROR(AVERAGE(K33,N33,Q33), "Fehler")</f>
        <v>0.215</v>
      </c>
      <c r="AG33" s="8" t="n">
        <f aca="false">IFERROR(AVERAGE(L33,O33,R33), "Fehler")</f>
        <v>0.29</v>
      </c>
      <c r="AH33" s="9" t="n">
        <f aca="false">IFERROR(AVERAGE(S33,V33,Y33), "Fehler")</f>
        <v>-0.12</v>
      </c>
      <c r="AI33" s="9" t="n">
        <f aca="false">IFERROR(AVERAGE(T33,W33,Z33), "Fehler")</f>
        <v>-0.09</v>
      </c>
      <c r="AJ33" s="9" t="n">
        <f aca="false">IFERROR(AVERAGE(U33,X33,AA33), "Fehler")</f>
        <v>0.13</v>
      </c>
      <c r="AK33" s="10" t="n">
        <f aca="false">IFERROR(AVERAGE(AB33), "Fehler")</f>
        <v>-0.12</v>
      </c>
      <c r="AL33" s="10" t="n">
        <f aca="false">IFERROR(AVERAGE(AC33), "Fehler")</f>
        <v>-1.53</v>
      </c>
      <c r="AM33" s="10" t="n">
        <f aca="false">IFERROR(AVERAGE(AD33), "Fehler")</f>
        <v>-0.07</v>
      </c>
      <c r="AN33" s="8" t="n">
        <f aca="false">SUMPRODUCT(                            ABS(AE33:AG33)) / COUNT(AE33:AG33)</f>
        <v>0.25</v>
      </c>
      <c r="AO33" s="9" t="n">
        <f aca="false">SUMPRODUCT(                            ABS(AH33:AJ33)) / COUNT(AH33:AJ33)</f>
        <v>0.113333333333333</v>
      </c>
      <c r="AP33" s="10" t="n">
        <f aca="false">SUMPRODUCT(                            ABS(AK33:AM33)) / COUNT(AK33:AM33)</f>
        <v>0.573333333333333</v>
      </c>
      <c r="AQ33" s="11" t="n">
        <f aca="false">SUMPRODUCT(ABS(AN33:AP33)) / COUNT(AN33:AP33)</f>
        <v>0.312222222222222</v>
      </c>
      <c r="AR33" s="15"/>
    </row>
    <row r="34" customFormat="false" ht="14.15" hidden="false" customHeight="true" outlineLevel="0" collapsed="false">
      <c r="A34" s="0" t="s">
        <v>62</v>
      </c>
      <c r="B34" s="0" t="s">
        <v>59</v>
      </c>
      <c r="C34" s="0" t="s">
        <v>60</v>
      </c>
      <c r="D34" s="0" t="s">
        <v>49</v>
      </c>
      <c r="E34" s="0" t="n">
        <v>2000</v>
      </c>
      <c r="F34" s="0" t="s">
        <v>61</v>
      </c>
      <c r="G34" s="0" t="n">
        <v>146.01</v>
      </c>
      <c r="H34" s="0" t="s">
        <v>78</v>
      </c>
      <c r="I34" s="0" t="n">
        <v>778.73</v>
      </c>
      <c r="J34" s="0" t="n">
        <v>0.47</v>
      </c>
      <c r="K34" s="0" t="n">
        <v>0.34</v>
      </c>
      <c r="L34" s="0" t="n">
        <v>0.47</v>
      </c>
      <c r="M34" s="0" t="n">
        <v>0.02</v>
      </c>
      <c r="N34" s="0" t="n">
        <v>0.09</v>
      </c>
      <c r="O34" s="0" t="n">
        <v>0.11</v>
      </c>
      <c r="P34" s="0"/>
      <c r="Q34" s="0"/>
      <c r="R34" s="0"/>
      <c r="S34" s="0"/>
      <c r="T34" s="0"/>
      <c r="U34" s="0"/>
      <c r="V34" s="0"/>
      <c r="W34" s="0"/>
      <c r="X34" s="0"/>
      <c r="Y34" s="0" t="n">
        <v>-0.12</v>
      </c>
      <c r="Z34" s="0" t="n">
        <v>-0.09</v>
      </c>
      <c r="AA34" s="0" t="n">
        <v>0.13</v>
      </c>
      <c r="AB34" s="0" t="n">
        <v>-0.12</v>
      </c>
      <c r="AC34" s="0" t="n">
        <v>-1.53</v>
      </c>
      <c r="AD34" s="0" t="n">
        <v>-0.07</v>
      </c>
      <c r="AE34" s="8" t="n">
        <f aca="false">IFERROR(AVERAGE(J34,M34,P34), "Fehler")</f>
        <v>0.245</v>
      </c>
      <c r="AF34" s="8" t="n">
        <f aca="false">IFERROR(AVERAGE(K34,N34,Q34), "Fehler")</f>
        <v>0.215</v>
      </c>
      <c r="AG34" s="8" t="n">
        <f aca="false">IFERROR(AVERAGE(L34,O34,R34), "Fehler")</f>
        <v>0.29</v>
      </c>
      <c r="AH34" s="9" t="n">
        <f aca="false">IFERROR(AVERAGE(S34,V34,Y34), "Fehler")</f>
        <v>-0.12</v>
      </c>
      <c r="AI34" s="9" t="n">
        <f aca="false">IFERROR(AVERAGE(T34,W34,Z34), "Fehler")</f>
        <v>-0.09</v>
      </c>
      <c r="AJ34" s="9" t="n">
        <f aca="false">IFERROR(AVERAGE(U34,X34,AA34), "Fehler")</f>
        <v>0.13</v>
      </c>
      <c r="AK34" s="10" t="n">
        <f aca="false">IFERROR(AVERAGE(AB34), "Fehler")</f>
        <v>-0.12</v>
      </c>
      <c r="AL34" s="10" t="n">
        <f aca="false">IFERROR(AVERAGE(AC34), "Fehler")</f>
        <v>-1.53</v>
      </c>
      <c r="AM34" s="10" t="n">
        <f aca="false">IFERROR(AVERAGE(AD34), "Fehler")</f>
        <v>-0.07</v>
      </c>
      <c r="AN34" s="8" t="n">
        <f aca="false">SUMPRODUCT(                            ABS(AE34:AG34)) / COUNT(AE34:AG34)</f>
        <v>0.25</v>
      </c>
      <c r="AO34" s="9" t="n">
        <f aca="false">SUMPRODUCT(                            ABS(AH34:AJ34)) / COUNT(AH34:AJ34)</f>
        <v>0.113333333333333</v>
      </c>
      <c r="AP34" s="10" t="n">
        <f aca="false">SUMPRODUCT(                            ABS(AK34:AM34)) / COUNT(AK34:AM34)</f>
        <v>0.573333333333333</v>
      </c>
      <c r="AQ34" s="11" t="n">
        <f aca="false">SUMPRODUCT(ABS(AN34:AP34)) / COUNT(AN34:AP34)</f>
        <v>0.312222222222222</v>
      </c>
      <c r="AR34" s="12" t="n">
        <f aca="false">(1-  AQ35/AQ34)*100</f>
        <v>42.7046263345196</v>
      </c>
    </row>
    <row r="35" customFormat="false" ht="14.15" hidden="false" customHeight="true" outlineLevel="0" collapsed="false">
      <c r="A35" s="0" t="s">
        <v>85</v>
      </c>
      <c r="B35" s="0" t="s">
        <v>59</v>
      </c>
      <c r="C35" s="0" t="s">
        <v>60</v>
      </c>
      <c r="D35" s="0" t="s">
        <v>49</v>
      </c>
      <c r="E35" s="0" t="n">
        <v>2000</v>
      </c>
      <c r="F35" s="0" t="s">
        <v>83</v>
      </c>
      <c r="G35" s="0" t="n">
        <v>146.01</v>
      </c>
      <c r="H35" s="0" t="s">
        <v>81</v>
      </c>
      <c r="I35" s="0" t="n">
        <v>778.73</v>
      </c>
      <c r="J35" s="0" t="n">
        <v>0.39</v>
      </c>
      <c r="K35" s="0" t="n">
        <v>0.51</v>
      </c>
      <c r="L35" s="0" t="n">
        <v>0.69</v>
      </c>
      <c r="M35" s="0" t="n">
        <v>0.12</v>
      </c>
      <c r="N35" s="0" t="n">
        <v>0.19</v>
      </c>
      <c r="O35" s="0" t="n">
        <v>0.22</v>
      </c>
      <c r="P35" s="0"/>
      <c r="Q35" s="0"/>
      <c r="R35" s="0"/>
      <c r="S35" s="0"/>
      <c r="T35" s="0"/>
      <c r="U35" s="0"/>
      <c r="V35" s="0"/>
      <c r="W35" s="0"/>
      <c r="X35" s="0"/>
      <c r="Y35" s="0" t="n">
        <v>-0.03</v>
      </c>
      <c r="Z35" s="0" t="n">
        <v>0.03</v>
      </c>
      <c r="AA35" s="0" t="n">
        <v>0.1</v>
      </c>
      <c r="AB35" s="0" t="n">
        <v>-0.04</v>
      </c>
      <c r="AC35" s="0" t="n">
        <v>-0.27</v>
      </c>
      <c r="AD35" s="0" t="n">
        <v>0.08</v>
      </c>
      <c r="AE35" s="8" t="n">
        <f aca="false">IFERROR(AVERAGE(J35,M35,P35), "Fehler")</f>
        <v>0.255</v>
      </c>
      <c r="AF35" s="8" t="n">
        <f aca="false">IFERROR(AVERAGE(K35,N35,Q35), "Fehler")</f>
        <v>0.35</v>
      </c>
      <c r="AG35" s="8" t="n">
        <f aca="false">IFERROR(AVERAGE(L35,O35,R35), "Fehler")</f>
        <v>0.455</v>
      </c>
      <c r="AH35" s="9" t="n">
        <f aca="false">IFERROR(AVERAGE(S35,V35,Y35), "Fehler")</f>
        <v>-0.03</v>
      </c>
      <c r="AI35" s="9" t="n">
        <f aca="false">IFERROR(AVERAGE(T35,W35,Z35), "Fehler")</f>
        <v>0.03</v>
      </c>
      <c r="AJ35" s="9" t="n">
        <f aca="false">IFERROR(AVERAGE(U35,X35,AA35), "Fehler")</f>
        <v>0.1</v>
      </c>
      <c r="AK35" s="10" t="n">
        <f aca="false">IFERROR(AVERAGE(AB35), "Fehler")</f>
        <v>-0.04</v>
      </c>
      <c r="AL35" s="10" t="n">
        <f aca="false">IFERROR(AVERAGE(AC35), "Fehler")</f>
        <v>-0.27</v>
      </c>
      <c r="AM35" s="10" t="n">
        <f aca="false">IFERROR(AVERAGE(AD35), "Fehler")</f>
        <v>0.08</v>
      </c>
      <c r="AN35" s="8" t="n">
        <f aca="false">SUMPRODUCT(                            ABS(AE35:AG35)) / COUNT(AE35:AG35)</f>
        <v>0.353333333333333</v>
      </c>
      <c r="AO35" s="9" t="n">
        <f aca="false">SUMPRODUCT(                            ABS(AH35:AJ35)) / COUNT(AH35:AJ35)</f>
        <v>0.0533333333333333</v>
      </c>
      <c r="AP35" s="10" t="n">
        <f aca="false">SUMPRODUCT(                            ABS(AK35:AM35)) / COUNT(AK35:AM35)</f>
        <v>0.13</v>
      </c>
      <c r="AQ35" s="11" t="n">
        <f aca="false">SUMPRODUCT(ABS(AN35:AP35)) / COUNT(AN35:AP35)</f>
        <v>0.178888888888889</v>
      </c>
      <c r="AR35" s="15"/>
    </row>
    <row r="36" customFormat="false" ht="14.15" hidden="false" customHeight="true" outlineLevel="0" collapsed="false">
      <c r="A36" s="0" t="s">
        <v>63</v>
      </c>
      <c r="B36" s="0" t="s">
        <v>44</v>
      </c>
      <c r="C36" s="0" t="s">
        <v>45</v>
      </c>
      <c r="D36" s="0" t="s">
        <v>46</v>
      </c>
      <c r="E36" s="0" t="n">
        <v>2500</v>
      </c>
      <c r="F36" s="0" t="s">
        <v>47</v>
      </c>
      <c r="G36" s="0" t="n">
        <v>45.5</v>
      </c>
      <c r="H36" s="0" t="s">
        <v>86</v>
      </c>
      <c r="I36" s="0" t="n">
        <v>634291</v>
      </c>
      <c r="J36" s="0" t="n">
        <v>-0.06</v>
      </c>
      <c r="K36" s="0" t="n">
        <v>0.06</v>
      </c>
      <c r="L36" s="0" t="n">
        <v>0.18</v>
      </c>
      <c r="M36" s="0" t="n">
        <v>-0.21</v>
      </c>
      <c r="N36" s="0" t="n">
        <v>-0.12</v>
      </c>
      <c r="O36" s="0" t="n">
        <v>0.03</v>
      </c>
      <c r="P36" s="0" t="n">
        <v>-0.65</v>
      </c>
      <c r="Q36" s="0" t="n">
        <v>-2.73</v>
      </c>
      <c r="R36" s="0" t="n">
        <v>-0.12</v>
      </c>
      <c r="S36" s="0" t="n">
        <v>-7.42</v>
      </c>
      <c r="T36" s="0" t="n">
        <v>-11.57</v>
      </c>
      <c r="U36" s="0" t="n">
        <v>-5.35</v>
      </c>
      <c r="V36" s="0" t="n">
        <v>-10.06</v>
      </c>
      <c r="W36" s="0" t="n">
        <v>-14.28</v>
      </c>
      <c r="X36" s="0" t="n">
        <v>-7.86</v>
      </c>
      <c r="Y36" s="0" t="n">
        <v>-12.37</v>
      </c>
      <c r="Z36" s="0" t="n">
        <v>-16.62</v>
      </c>
      <c r="AA36" s="0" t="n">
        <v>-10.1</v>
      </c>
      <c r="AB36" s="0" t="n">
        <v>-16.24</v>
      </c>
      <c r="AC36" s="0" t="n">
        <v>-20.57</v>
      </c>
      <c r="AD36" s="0" t="n">
        <v>-13.86</v>
      </c>
      <c r="AE36" s="8" t="n">
        <f aca="false">IFERROR(AVERAGE(J36,M36,P36), "Fehler")</f>
        <v>-0.306666666666667</v>
      </c>
      <c r="AF36" s="8" t="n">
        <f aca="false">IFERROR(AVERAGE(K36,N36,Q36), "Fehler")</f>
        <v>-0.93</v>
      </c>
      <c r="AG36" s="8" t="n">
        <f aca="false">IFERROR(AVERAGE(L36,O36,R36), "Fehler")</f>
        <v>0.03</v>
      </c>
      <c r="AH36" s="9" t="n">
        <f aca="false">IFERROR(AVERAGE(S36,V36,Y36), "Fehler")</f>
        <v>-9.95</v>
      </c>
      <c r="AI36" s="9" t="n">
        <f aca="false">IFERROR(AVERAGE(T36,W36,Z36), "Fehler")</f>
        <v>-14.1566666666667</v>
      </c>
      <c r="AJ36" s="9" t="n">
        <f aca="false">IFERROR(AVERAGE(U36,X36,AA36), "Fehler")</f>
        <v>-7.77</v>
      </c>
      <c r="AK36" s="10" t="n">
        <f aca="false">IFERROR(AVERAGE(AB36), "Fehler")</f>
        <v>-16.24</v>
      </c>
      <c r="AL36" s="10" t="n">
        <f aca="false">IFERROR(AVERAGE(AC36), "Fehler")</f>
        <v>-20.57</v>
      </c>
      <c r="AM36" s="10" t="n">
        <f aca="false">IFERROR(AVERAGE(AD36), "Fehler")</f>
        <v>-13.86</v>
      </c>
      <c r="AN36" s="8" t="n">
        <f aca="false">SUMPRODUCT(                            ABS(AE36:AG36)) / COUNT(AE36:AG36)</f>
        <v>0.422222222222222</v>
      </c>
      <c r="AO36" s="9" t="n">
        <f aca="false">SUMPRODUCT(                            ABS(AH36:AJ36)) / COUNT(AH36:AJ36)</f>
        <v>10.6255555555556</v>
      </c>
      <c r="AP36" s="10" t="n">
        <f aca="false">SUMPRODUCT(                            ABS(AK36:AM36)) / COUNT(AK36:AM36)</f>
        <v>16.89</v>
      </c>
      <c r="AQ36" s="11" t="n">
        <f aca="false">SUMPRODUCT(ABS(AN36:AP36)) / COUNT(AN36:AP36)</f>
        <v>9.31259259259259</v>
      </c>
      <c r="AR36" s="12" t="n">
        <f aca="false">(1-  AQ37/AQ36)*100</f>
        <v>72.1842188991409</v>
      </c>
    </row>
    <row r="37" customFormat="false" ht="14.15" hidden="false" customHeight="true" outlineLevel="0" collapsed="false">
      <c r="A37" s="0" t="s">
        <v>64</v>
      </c>
      <c r="B37" s="0" t="s">
        <v>44</v>
      </c>
      <c r="C37" s="0" t="s">
        <v>45</v>
      </c>
      <c r="D37" s="0" t="s">
        <v>49</v>
      </c>
      <c r="E37" s="0" t="n">
        <v>2500</v>
      </c>
      <c r="F37" s="0" t="s">
        <v>47</v>
      </c>
      <c r="G37" s="0" t="n">
        <v>45.5</v>
      </c>
      <c r="H37" s="0" t="s">
        <v>86</v>
      </c>
      <c r="I37" s="0" t="n">
        <v>634291</v>
      </c>
      <c r="J37" s="0" t="n">
        <v>0.16</v>
      </c>
      <c r="K37" s="0" t="n">
        <v>0.07</v>
      </c>
      <c r="L37" s="0" t="n">
        <v>0.18</v>
      </c>
      <c r="M37" s="0" t="n">
        <v>-0.11</v>
      </c>
      <c r="N37" s="0" t="n">
        <v>-0.2</v>
      </c>
      <c r="O37" s="0" t="n">
        <v>-0.14</v>
      </c>
      <c r="P37" s="0" t="n">
        <v>-0.25</v>
      </c>
      <c r="Q37" s="0" t="n">
        <v>-0.32</v>
      </c>
      <c r="R37" s="0" t="n">
        <v>-0.26</v>
      </c>
      <c r="S37" s="0" t="n">
        <v>-1.68</v>
      </c>
      <c r="T37" s="0" t="n">
        <v>-1.57</v>
      </c>
      <c r="U37" s="0" t="n">
        <v>-1.13</v>
      </c>
      <c r="V37" s="0" t="n">
        <v>-3.34</v>
      </c>
      <c r="W37" s="0" t="n">
        <v>-1.76</v>
      </c>
      <c r="X37" s="0" t="n">
        <v>-2.23</v>
      </c>
      <c r="Y37" s="0" t="n">
        <v>-5.07</v>
      </c>
      <c r="Z37" s="0" t="n">
        <v>-1.83</v>
      </c>
      <c r="AA37" s="0" t="n">
        <v>-3.45</v>
      </c>
      <c r="AB37" s="0" t="n">
        <v>-8.28</v>
      </c>
      <c r="AC37" s="0" t="n">
        <v>-1.95</v>
      </c>
      <c r="AD37" s="0" t="n">
        <v>-5.44</v>
      </c>
      <c r="AE37" s="8" t="n">
        <f aca="false">IFERROR(AVERAGE(J37,M37,P37), "Fehler")</f>
        <v>-0.0666666666666667</v>
      </c>
      <c r="AF37" s="8" t="n">
        <f aca="false">IFERROR(AVERAGE(K37,N37,Q37), "Fehler")</f>
        <v>-0.15</v>
      </c>
      <c r="AG37" s="8" t="n">
        <f aca="false">IFERROR(AVERAGE(L37,O37,R37), "Fehler")</f>
        <v>-0.0733333333333334</v>
      </c>
      <c r="AH37" s="9" t="n">
        <f aca="false">IFERROR(AVERAGE(S37,V37,Y37), "Fehler")</f>
        <v>-3.36333333333333</v>
      </c>
      <c r="AI37" s="9" t="n">
        <f aca="false">IFERROR(AVERAGE(T37,W37,Z37), "Fehler")</f>
        <v>-1.72</v>
      </c>
      <c r="AJ37" s="9" t="n">
        <f aca="false">IFERROR(AVERAGE(U37,X37,AA37), "Fehler")</f>
        <v>-2.27</v>
      </c>
      <c r="AK37" s="10" t="n">
        <f aca="false">IFERROR(AVERAGE(AB37), "Fehler")</f>
        <v>-8.28</v>
      </c>
      <c r="AL37" s="10" t="n">
        <f aca="false">IFERROR(AVERAGE(AC37), "Fehler")</f>
        <v>-1.95</v>
      </c>
      <c r="AM37" s="10" t="n">
        <f aca="false">IFERROR(AVERAGE(AD37), "Fehler")</f>
        <v>-5.44</v>
      </c>
      <c r="AN37" s="8" t="n">
        <f aca="false">SUMPRODUCT(                            ABS(AE37:AG37)) / COUNT(AE37:AG37)</f>
        <v>0.0966666666666667</v>
      </c>
      <c r="AO37" s="9" t="n">
        <f aca="false">SUMPRODUCT(                            ABS(AH37:AJ37)) / COUNT(AH37:AJ37)</f>
        <v>2.45111111111111</v>
      </c>
      <c r="AP37" s="10" t="n">
        <f aca="false">SUMPRODUCT(                            ABS(AK37:AM37)) / COUNT(AK37:AM37)</f>
        <v>5.22333333333333</v>
      </c>
      <c r="AQ37" s="11" t="n">
        <f aca="false">SUMPRODUCT(ABS(AN37:AP37)) / COUNT(AN37:AP37)</f>
        <v>2.59037037037037</v>
      </c>
      <c r="AR37" s="15"/>
    </row>
    <row r="38" customFormat="false" ht="14.15" hidden="false" customHeight="true" outlineLevel="0" collapsed="false">
      <c r="A38" s="0" t="s">
        <v>65</v>
      </c>
      <c r="B38" s="0" t="s">
        <v>44</v>
      </c>
      <c r="C38" s="0" t="s">
        <v>66</v>
      </c>
      <c r="D38" s="0" t="s">
        <v>46</v>
      </c>
      <c r="E38" s="0" t="n">
        <v>2500</v>
      </c>
      <c r="F38" s="0" t="s">
        <v>52</v>
      </c>
      <c r="G38" s="0" t="n">
        <v>104.2</v>
      </c>
      <c r="H38" s="0" t="s">
        <v>86</v>
      </c>
      <c r="I38" s="0" t="n">
        <v>1027</v>
      </c>
      <c r="J38" s="0" t="n">
        <v>0.08</v>
      </c>
      <c r="K38" s="0" t="n">
        <v>0.25</v>
      </c>
      <c r="L38" s="0" t="n">
        <v>0.23</v>
      </c>
      <c r="M38" s="0" t="n">
        <v>-0.16</v>
      </c>
      <c r="N38" s="0" t="n">
        <v>-0.1</v>
      </c>
      <c r="O38" s="0" t="n">
        <v>-0.05</v>
      </c>
      <c r="P38" s="0" t="n">
        <v>-0.23</v>
      </c>
      <c r="Q38" s="0" t="n">
        <v>-0.19</v>
      </c>
      <c r="R38" s="0" t="n">
        <v>-0.14</v>
      </c>
      <c r="S38" s="0" t="n">
        <v>-0.27</v>
      </c>
      <c r="T38" s="0" t="n">
        <v>-0.24</v>
      </c>
      <c r="U38" s="0" t="n">
        <v>-0.17</v>
      </c>
      <c r="V38" s="0" t="n">
        <v>-0.31</v>
      </c>
      <c r="W38" s="0" t="n">
        <v>-0.3</v>
      </c>
      <c r="X38" s="0" t="n">
        <v>-0.2</v>
      </c>
      <c r="Y38" s="0" t="n">
        <v>-0.29</v>
      </c>
      <c r="Z38" s="0" t="n">
        <v>-0.37</v>
      </c>
      <c r="AA38" s="0" t="n">
        <v>-0.2</v>
      </c>
      <c r="AB38" s="0" t="n">
        <v>-0.33</v>
      </c>
      <c r="AC38" s="0" t="n">
        <v>-1.01</v>
      </c>
      <c r="AD38" s="0" t="n">
        <v>-0.26</v>
      </c>
      <c r="AE38" s="8" t="n">
        <f aca="false">IFERROR(AVERAGE(J38,M38,P38), "Fehler")</f>
        <v>-0.103333333333333</v>
      </c>
      <c r="AF38" s="8" t="n">
        <f aca="false">IFERROR(AVERAGE(K38,N38,Q38), "Fehler")</f>
        <v>-0.0133333333333333</v>
      </c>
      <c r="AG38" s="8" t="n">
        <f aca="false">IFERROR(AVERAGE(L38,O38,R38), "Fehler")</f>
        <v>0.0133333333333333</v>
      </c>
      <c r="AH38" s="9" t="n">
        <f aca="false">IFERROR(AVERAGE(S38,V38,Y38), "Fehler")</f>
        <v>-0.29</v>
      </c>
      <c r="AI38" s="9" t="n">
        <f aca="false">IFERROR(AVERAGE(T38,W38,Z38), "Fehler")</f>
        <v>-0.303333333333333</v>
      </c>
      <c r="AJ38" s="9" t="n">
        <f aca="false">IFERROR(AVERAGE(U38,X38,AA38), "Fehler")</f>
        <v>-0.19</v>
      </c>
      <c r="AK38" s="10" t="n">
        <f aca="false">IFERROR(AVERAGE(AB38), "Fehler")</f>
        <v>-0.33</v>
      </c>
      <c r="AL38" s="10" t="n">
        <f aca="false">IFERROR(AVERAGE(AC38), "Fehler")</f>
        <v>-1.01</v>
      </c>
      <c r="AM38" s="10" t="n">
        <f aca="false">IFERROR(AVERAGE(AD38), "Fehler")</f>
        <v>-0.26</v>
      </c>
      <c r="AN38" s="8" t="n">
        <f aca="false">SUMPRODUCT(                            ABS(AE38:AG38)) / COUNT(AE38:AG38)</f>
        <v>0.0433333333333333</v>
      </c>
      <c r="AO38" s="9" t="n">
        <f aca="false">SUMPRODUCT(                            ABS(AH38:AJ38)) / COUNT(AH38:AJ38)</f>
        <v>0.261111111111111</v>
      </c>
      <c r="AP38" s="10" t="n">
        <f aca="false">SUMPRODUCT(                            ABS(AK38:AM38)) / COUNT(AK38:AM38)</f>
        <v>0.533333333333333</v>
      </c>
      <c r="AQ38" s="11" t="n">
        <f aca="false">SUMPRODUCT(ABS(AN38:AP38)) / COUNT(AN38:AP38)</f>
        <v>0.279259259259259</v>
      </c>
      <c r="AR38" s="12" t="n">
        <f aca="false">(1-  AQ39/AQ38)*100</f>
        <v>13.1299734748011</v>
      </c>
    </row>
    <row r="39" customFormat="false" ht="14.15" hidden="false" customHeight="true" outlineLevel="0" collapsed="false">
      <c r="A39" s="0" t="s">
        <v>67</v>
      </c>
      <c r="B39" s="0" t="s">
        <v>44</v>
      </c>
      <c r="C39" s="0" t="s">
        <v>66</v>
      </c>
      <c r="D39" s="0" t="s">
        <v>49</v>
      </c>
      <c r="E39" s="0" t="n">
        <v>2500</v>
      </c>
      <c r="F39" s="0" t="s">
        <v>52</v>
      </c>
      <c r="G39" s="0" t="n">
        <v>104.2</v>
      </c>
      <c r="H39" s="0" t="s">
        <v>86</v>
      </c>
      <c r="I39" s="0" t="n">
        <v>1027</v>
      </c>
      <c r="J39" s="0" t="n">
        <v>-0.03</v>
      </c>
      <c r="K39" s="0" t="n">
        <v>0.01</v>
      </c>
      <c r="L39" s="0" t="n">
        <v>0.1</v>
      </c>
      <c r="M39" s="0" t="n">
        <v>-0.19</v>
      </c>
      <c r="N39" s="0" t="n">
        <v>-0.14</v>
      </c>
      <c r="O39" s="0" t="n">
        <v>-0.08</v>
      </c>
      <c r="P39" s="0" t="n">
        <v>-0.23</v>
      </c>
      <c r="Q39" s="0" t="n">
        <v>-0.19</v>
      </c>
      <c r="R39" s="0" t="n">
        <v>-0.13</v>
      </c>
      <c r="S39" s="0" t="n">
        <v>-0.26</v>
      </c>
      <c r="T39" s="0" t="n">
        <v>-0.22</v>
      </c>
      <c r="U39" s="0" t="n">
        <v>-0.17</v>
      </c>
      <c r="V39" s="0" t="n">
        <v>-0.26</v>
      </c>
      <c r="W39" s="0" t="n">
        <v>-0.24</v>
      </c>
      <c r="X39" s="0" t="n">
        <v>-0.19</v>
      </c>
      <c r="Y39" s="0" t="n">
        <v>-0.28</v>
      </c>
      <c r="Z39" s="0" t="n">
        <v>-0.28</v>
      </c>
      <c r="AA39" s="0" t="n">
        <v>-0.23</v>
      </c>
      <c r="AB39" s="0" t="n">
        <v>-0.31</v>
      </c>
      <c r="AC39" s="0" t="n">
        <v>-0.55</v>
      </c>
      <c r="AD39" s="0" t="n">
        <v>-0.32</v>
      </c>
      <c r="AE39" s="8" t="n">
        <f aca="false">IFERROR(AVERAGE(J39,M39,P39), "Fehler")</f>
        <v>-0.15</v>
      </c>
      <c r="AF39" s="8" t="n">
        <f aca="false">IFERROR(AVERAGE(K39,N39,Q39), "Fehler")</f>
        <v>-0.106666666666667</v>
      </c>
      <c r="AG39" s="8" t="n">
        <f aca="false">IFERROR(AVERAGE(L39,O39,R39), "Fehler")</f>
        <v>-0.0366666666666667</v>
      </c>
      <c r="AH39" s="9" t="n">
        <f aca="false">IFERROR(AVERAGE(S39,V39,Y39), "Fehler")</f>
        <v>-0.266666666666667</v>
      </c>
      <c r="AI39" s="9" t="n">
        <f aca="false">IFERROR(AVERAGE(T39,W39,Z39), "Fehler")</f>
        <v>-0.246666666666667</v>
      </c>
      <c r="AJ39" s="9" t="n">
        <f aca="false">IFERROR(AVERAGE(U39,X39,AA39), "Fehler")</f>
        <v>-0.196666666666667</v>
      </c>
      <c r="AK39" s="10" t="n">
        <f aca="false">IFERROR(AVERAGE(AB39), "Fehler")</f>
        <v>-0.31</v>
      </c>
      <c r="AL39" s="10" t="n">
        <f aca="false">IFERROR(AVERAGE(AC39), "Fehler")</f>
        <v>-0.55</v>
      </c>
      <c r="AM39" s="10" t="n">
        <f aca="false">IFERROR(AVERAGE(AD39), "Fehler")</f>
        <v>-0.32</v>
      </c>
      <c r="AN39" s="8" t="n">
        <f aca="false">SUMPRODUCT(                            ABS(AE39:AG39)) / COUNT(AE39:AG39)</f>
        <v>0.0977777777777778</v>
      </c>
      <c r="AO39" s="9" t="n">
        <f aca="false">SUMPRODUCT(                            ABS(AH39:AJ39)) / COUNT(AH39:AJ39)</f>
        <v>0.236666666666667</v>
      </c>
      <c r="AP39" s="10" t="n">
        <f aca="false">SUMPRODUCT(                            ABS(AK39:AM39)) / COUNT(AK39:AM39)</f>
        <v>0.393333333333333</v>
      </c>
      <c r="AQ39" s="11" t="n">
        <f aca="false">SUMPRODUCT(ABS(AN39:AP39)) / COUNT(AN39:AP39)</f>
        <v>0.242592592592593</v>
      </c>
      <c r="AR39" s="15"/>
    </row>
    <row r="40" customFormat="false" ht="14.15" hidden="false" customHeight="true" outlineLevel="0" collapsed="false">
      <c r="A40" s="0" t="s">
        <v>68</v>
      </c>
      <c r="B40" s="0" t="s">
        <v>44</v>
      </c>
      <c r="C40" s="0" t="s">
        <v>69</v>
      </c>
      <c r="D40" s="0" t="s">
        <v>46</v>
      </c>
      <c r="E40" s="0" t="n">
        <v>3000</v>
      </c>
      <c r="F40" s="0" t="s">
        <v>47</v>
      </c>
      <c r="G40" s="0" t="n">
        <v>71.51</v>
      </c>
      <c r="H40" s="0" t="s">
        <v>87</v>
      </c>
      <c r="I40" s="0" t="n">
        <v>1520</v>
      </c>
      <c r="J40" s="0" t="n">
        <v>0.27</v>
      </c>
      <c r="K40" s="0" t="n">
        <v>0.29</v>
      </c>
      <c r="L40" s="0" t="n">
        <v>0.25</v>
      </c>
      <c r="M40" s="0" t="n">
        <v>-0.2</v>
      </c>
      <c r="N40" s="0" t="n">
        <v>-0.09</v>
      </c>
      <c r="O40" s="0" t="n">
        <v>-0.03</v>
      </c>
      <c r="P40" s="0" t="n">
        <v>-0.23</v>
      </c>
      <c r="Q40" s="0" t="n">
        <v>-0.16</v>
      </c>
      <c r="R40" s="0" t="n">
        <v>-0.1</v>
      </c>
      <c r="S40" s="0" t="n">
        <v>-0.3</v>
      </c>
      <c r="T40" s="0" t="n">
        <v>-1.08</v>
      </c>
      <c r="U40" s="0" t="n">
        <v>-0.14</v>
      </c>
      <c r="V40" s="0" t="n">
        <v>-0.35</v>
      </c>
      <c r="W40" s="0" t="n">
        <v>-1.89</v>
      </c>
      <c r="X40" s="0" t="n">
        <v>-0.15</v>
      </c>
      <c r="Y40" s="0" t="n">
        <v>-0.42</v>
      </c>
      <c r="Z40" s="0" t="n">
        <v>-2.92</v>
      </c>
      <c r="AA40" s="0" t="n">
        <v>-0.17</v>
      </c>
      <c r="AB40" s="0" t="n">
        <v>-1.02</v>
      </c>
      <c r="AC40" s="0" t="n">
        <v>-5.43</v>
      </c>
      <c r="AD40" s="0" t="n">
        <v>-0.91</v>
      </c>
      <c r="AE40" s="8" t="n">
        <f aca="false">IFERROR(AVERAGE(J40,M40,P40), "Fehler")</f>
        <v>-0.0533333333333333</v>
      </c>
      <c r="AF40" s="8" t="n">
        <f aca="false">IFERROR(AVERAGE(K40,N40,Q40), "Fehler")</f>
        <v>0.0133333333333333</v>
      </c>
      <c r="AG40" s="8" t="n">
        <f aca="false">IFERROR(AVERAGE(L40,O40,R40), "Fehler")</f>
        <v>0.04</v>
      </c>
      <c r="AH40" s="9" t="n">
        <f aca="false">IFERROR(AVERAGE(S40,V40,Y40), "Fehler")</f>
        <v>-0.356666666666667</v>
      </c>
      <c r="AI40" s="9" t="n">
        <f aca="false">IFERROR(AVERAGE(T40,W40,Z40), "Fehler")</f>
        <v>-1.96333333333333</v>
      </c>
      <c r="AJ40" s="9" t="n">
        <f aca="false">IFERROR(AVERAGE(U40,X40,AA40), "Fehler")</f>
        <v>-0.153333333333333</v>
      </c>
      <c r="AK40" s="10" t="n">
        <f aca="false">IFERROR(AVERAGE(AB40), "Fehler")</f>
        <v>-1.02</v>
      </c>
      <c r="AL40" s="10" t="n">
        <f aca="false">IFERROR(AVERAGE(AC40), "Fehler")</f>
        <v>-5.43</v>
      </c>
      <c r="AM40" s="10" t="n">
        <f aca="false">IFERROR(AVERAGE(AD40), "Fehler")</f>
        <v>-0.91</v>
      </c>
      <c r="AN40" s="8" t="n">
        <f aca="false">SUMPRODUCT(                            ABS(AE40:AG40)) / COUNT(AE40:AG40)</f>
        <v>0.0355555555555556</v>
      </c>
      <c r="AO40" s="9" t="n">
        <f aca="false">SUMPRODUCT(                            ABS(AH40:AJ40)) / COUNT(AH40:AJ40)</f>
        <v>0.824444444444444</v>
      </c>
      <c r="AP40" s="10" t="n">
        <f aca="false">SUMPRODUCT(                            ABS(AK40:AM40)) / COUNT(AK40:AM40)</f>
        <v>2.45333333333333</v>
      </c>
      <c r="AQ40" s="11" t="n">
        <f aca="false">SUMPRODUCT(ABS(AN40:AP40)) / COUNT(AN40:AP40)</f>
        <v>1.10444444444444</v>
      </c>
      <c r="AR40" s="12" t="n">
        <f aca="false">(1-  AQ41/AQ40)*100</f>
        <v>3.95707578806169</v>
      </c>
    </row>
    <row r="41" customFormat="false" ht="14.15" hidden="false" customHeight="true" outlineLevel="0" collapsed="false">
      <c r="A41" s="0" t="s">
        <v>88</v>
      </c>
      <c r="B41" s="0" t="s">
        <v>44</v>
      </c>
      <c r="C41" s="0" t="s">
        <v>69</v>
      </c>
      <c r="D41" s="0" t="s">
        <v>46</v>
      </c>
      <c r="E41" s="0" t="n">
        <v>3000</v>
      </c>
      <c r="F41" s="0" t="s">
        <v>47</v>
      </c>
      <c r="G41" s="0" t="n">
        <v>71.51</v>
      </c>
      <c r="H41" s="0" t="s">
        <v>89</v>
      </c>
      <c r="I41" s="0" t="n">
        <v>1520</v>
      </c>
      <c r="J41" s="0" t="n">
        <v>0.08</v>
      </c>
      <c r="K41" s="0" t="n">
        <v>0.17</v>
      </c>
      <c r="L41" s="0" t="n">
        <v>0.3</v>
      </c>
      <c r="M41" s="0" t="n">
        <v>-0.13</v>
      </c>
      <c r="N41" s="0" t="n">
        <v>-0.04</v>
      </c>
      <c r="O41" s="0" t="n">
        <v>0.05</v>
      </c>
      <c r="P41" s="0" t="n">
        <v>-0.22</v>
      </c>
      <c r="Q41" s="0" t="n">
        <v>-0.13</v>
      </c>
      <c r="R41" s="0" t="n">
        <v>-0.05</v>
      </c>
      <c r="S41" s="0" t="n">
        <v>-0.28</v>
      </c>
      <c r="T41" s="0" t="n">
        <v>-0.6</v>
      </c>
      <c r="U41" s="0" t="n">
        <v>-0.09</v>
      </c>
      <c r="V41" s="0" t="n">
        <v>-0.32</v>
      </c>
      <c r="W41" s="0" t="n">
        <v>-1.42</v>
      </c>
      <c r="X41" s="0" t="n">
        <v>-0.1</v>
      </c>
      <c r="Y41" s="0" t="n">
        <v>-0.4</v>
      </c>
      <c r="Z41" s="0" t="n">
        <v>-2.54</v>
      </c>
      <c r="AA41" s="0" t="n">
        <v>-0.12</v>
      </c>
      <c r="AB41" s="0" t="n">
        <v>-1.86</v>
      </c>
      <c r="AC41" s="0" t="n">
        <v>-5.11</v>
      </c>
      <c r="AD41" s="0" t="n">
        <v>-0.43</v>
      </c>
      <c r="AE41" s="8" t="n">
        <f aca="false">IFERROR(AVERAGE(J41,M41,P41), "Fehler")</f>
        <v>-0.09</v>
      </c>
      <c r="AF41" s="8" t="n">
        <f aca="false">IFERROR(AVERAGE(K41,N41,Q41), "Fehler")</f>
        <v>0</v>
      </c>
      <c r="AG41" s="8" t="n">
        <f aca="false">IFERROR(AVERAGE(L41,O41,R41), "Fehler")</f>
        <v>0.1</v>
      </c>
      <c r="AH41" s="9" t="n">
        <f aca="false">IFERROR(AVERAGE(S41,V41,Y41), "Fehler")</f>
        <v>-0.333333333333333</v>
      </c>
      <c r="AI41" s="9" t="n">
        <f aca="false">IFERROR(AVERAGE(T41,W41,Z41), "Fehler")</f>
        <v>-1.52</v>
      </c>
      <c r="AJ41" s="9" t="n">
        <f aca="false">IFERROR(AVERAGE(U41,X41,AA41), "Fehler")</f>
        <v>-0.103333333333333</v>
      </c>
      <c r="AK41" s="10" t="n">
        <f aca="false">IFERROR(AVERAGE(AB41), "Fehler")</f>
        <v>-1.86</v>
      </c>
      <c r="AL41" s="10" t="n">
        <f aca="false">IFERROR(AVERAGE(AC41), "Fehler")</f>
        <v>-5.11</v>
      </c>
      <c r="AM41" s="10" t="n">
        <f aca="false">IFERROR(AVERAGE(AD41), "Fehler")</f>
        <v>-0.43</v>
      </c>
      <c r="AN41" s="8" t="n">
        <f aca="false">SUMPRODUCT(                            ABS(AE41:AG41)) / COUNT(AE41:AG41)</f>
        <v>0.0633333333333333</v>
      </c>
      <c r="AO41" s="9" t="n">
        <f aca="false">SUMPRODUCT(                            ABS(AH41:AJ41)) / COUNT(AH41:AJ41)</f>
        <v>0.652222222222222</v>
      </c>
      <c r="AP41" s="10" t="n">
        <f aca="false">SUMPRODUCT(                            ABS(AK41:AM41)) / COUNT(AK41:AM41)</f>
        <v>2.46666666666667</v>
      </c>
      <c r="AQ41" s="11" t="n">
        <f aca="false">SUMPRODUCT(ABS(AN41:AP41)) / COUNT(AN41:AP41)</f>
        <v>1.06074074074074</v>
      </c>
      <c r="AR41" s="15"/>
    </row>
    <row r="42" customFormat="false" ht="14.15" hidden="false" customHeight="true" outlineLevel="0" collapsed="false">
      <c r="A42" s="0" t="s">
        <v>90</v>
      </c>
      <c r="B42" s="0" t="s">
        <v>44</v>
      </c>
      <c r="C42" s="0" t="s">
        <v>69</v>
      </c>
      <c r="D42" s="0" t="s">
        <v>46</v>
      </c>
      <c r="E42" s="0" t="n">
        <v>3000</v>
      </c>
      <c r="F42" s="0" t="s">
        <v>91</v>
      </c>
      <c r="G42" s="0" t="n">
        <v>71.51</v>
      </c>
      <c r="H42" s="0" t="s">
        <v>92</v>
      </c>
      <c r="I42" s="0" t="n">
        <v>1520</v>
      </c>
      <c r="J42" s="0" t="n">
        <v>0.06</v>
      </c>
      <c r="K42" s="0" t="n">
        <v>0.19</v>
      </c>
      <c r="L42" s="0" t="n">
        <v>0.27</v>
      </c>
      <c r="M42" s="0" t="n">
        <v>-0.16</v>
      </c>
      <c r="N42" s="0" t="n">
        <v>-0.06</v>
      </c>
      <c r="O42" s="0" t="n">
        <v>-0.02</v>
      </c>
      <c r="P42" s="0" t="n">
        <v>-0.23</v>
      </c>
      <c r="Q42" s="0" t="n">
        <v>-0.13</v>
      </c>
      <c r="R42" s="0" t="n">
        <v>-0.11</v>
      </c>
      <c r="S42" s="0" t="n">
        <v>-0.31</v>
      </c>
      <c r="T42" s="0" t="n">
        <v>-0.82</v>
      </c>
      <c r="U42" s="0" t="n">
        <v>-0.14</v>
      </c>
      <c r="V42" s="0" t="n">
        <v>-0.35</v>
      </c>
      <c r="W42" s="0" t="n">
        <v>-1.8</v>
      </c>
      <c r="X42" s="0" t="n">
        <v>-0.15</v>
      </c>
      <c r="Y42" s="0" t="n">
        <v>-0.42</v>
      </c>
      <c r="Z42" s="0" t="n">
        <v>-3.04</v>
      </c>
      <c r="AA42" s="0" t="n">
        <v>-0.16</v>
      </c>
      <c r="AB42" s="0" t="n">
        <v>-1.04</v>
      </c>
      <c r="AC42" s="0" t="n">
        <v>-5.68</v>
      </c>
      <c r="AD42" s="0" t="n">
        <v>-0.73</v>
      </c>
      <c r="AE42" s="8" t="n">
        <f aca="false">IFERROR(AVERAGE(J42,M42,P42), "Fehler")</f>
        <v>-0.11</v>
      </c>
      <c r="AF42" s="8" t="n">
        <f aca="false">IFERROR(AVERAGE(K42,N42,Q42), "Fehler")</f>
        <v>0</v>
      </c>
      <c r="AG42" s="8" t="n">
        <f aca="false">IFERROR(AVERAGE(L42,O42,R42), "Fehler")</f>
        <v>0.0466666666666667</v>
      </c>
      <c r="AH42" s="9" t="n">
        <f aca="false">IFERROR(AVERAGE(S42,V42,Y42), "Fehler")</f>
        <v>-0.36</v>
      </c>
      <c r="AI42" s="9" t="n">
        <f aca="false">IFERROR(AVERAGE(T42,W42,Z42), "Fehler")</f>
        <v>-1.88666666666667</v>
      </c>
      <c r="AJ42" s="9" t="n">
        <f aca="false">IFERROR(AVERAGE(U42,X42,AA42), "Fehler")</f>
        <v>-0.15</v>
      </c>
      <c r="AK42" s="10" t="n">
        <f aca="false">IFERROR(AVERAGE(AB42), "Fehler")</f>
        <v>-1.04</v>
      </c>
      <c r="AL42" s="10" t="n">
        <f aca="false">IFERROR(AVERAGE(AC42), "Fehler")</f>
        <v>-5.68</v>
      </c>
      <c r="AM42" s="10" t="n">
        <f aca="false">IFERROR(AVERAGE(AD42), "Fehler")</f>
        <v>-0.73</v>
      </c>
      <c r="AN42" s="8" t="n">
        <f aca="false">SUMPRODUCT(                            ABS(AE42:AG42)) / COUNT(AE42:AG42)</f>
        <v>0.0522222222222222</v>
      </c>
      <c r="AO42" s="9" t="n">
        <f aca="false">SUMPRODUCT(                            ABS(AH42:AJ42)) / COUNT(AH42:AJ42)</f>
        <v>0.798888888888889</v>
      </c>
      <c r="AP42" s="10" t="n">
        <f aca="false">SUMPRODUCT(                            ABS(AK42:AM42)) / COUNT(AK42:AM42)</f>
        <v>2.48333333333333</v>
      </c>
      <c r="AQ42" s="11" t="n">
        <f aca="false">SUMPRODUCT(ABS(AN42:AP42)) / COUNT(AN42:AP42)</f>
        <v>1.11148148148148</v>
      </c>
      <c r="AR42" s="12" t="n">
        <f aca="false">(1-  AQ43/AQ42)*100</f>
        <v>4.59846717760747</v>
      </c>
    </row>
    <row r="43" customFormat="false" ht="14.15" hidden="false" customHeight="true" outlineLevel="0" collapsed="false">
      <c r="A43" s="0" t="s">
        <v>93</v>
      </c>
      <c r="B43" s="0" t="s">
        <v>44</v>
      </c>
      <c r="C43" s="0" t="s">
        <v>69</v>
      </c>
      <c r="D43" s="0" t="s">
        <v>46</v>
      </c>
      <c r="E43" s="0" t="n">
        <v>3000</v>
      </c>
      <c r="F43" s="0" t="s">
        <v>94</v>
      </c>
      <c r="G43" s="0" t="n">
        <v>71.51</v>
      </c>
      <c r="H43" s="0" t="s">
        <v>92</v>
      </c>
      <c r="I43" s="0" t="n">
        <v>1520</v>
      </c>
      <c r="J43" s="0" t="n">
        <v>0.08</v>
      </c>
      <c r="K43" s="0" t="n">
        <v>0.17</v>
      </c>
      <c r="L43" s="0" t="n">
        <v>0.3</v>
      </c>
      <c r="M43" s="0" t="n">
        <v>-0.13</v>
      </c>
      <c r="N43" s="0" t="n">
        <v>-0.04</v>
      </c>
      <c r="O43" s="0" t="n">
        <v>0.05</v>
      </c>
      <c r="P43" s="0" t="n">
        <v>-0.22</v>
      </c>
      <c r="Q43" s="0" t="n">
        <v>-0.13</v>
      </c>
      <c r="R43" s="0" t="n">
        <v>-0.05</v>
      </c>
      <c r="S43" s="0" t="n">
        <v>-0.28</v>
      </c>
      <c r="T43" s="0" t="n">
        <v>-0.6</v>
      </c>
      <c r="U43" s="0" t="n">
        <v>-0.09</v>
      </c>
      <c r="V43" s="0" t="n">
        <v>-0.32</v>
      </c>
      <c r="W43" s="0" t="n">
        <v>-1.41</v>
      </c>
      <c r="X43" s="0" t="n">
        <v>-0.1</v>
      </c>
      <c r="Y43" s="0" t="n">
        <v>-0.4</v>
      </c>
      <c r="Z43" s="0" t="n">
        <v>-2.54</v>
      </c>
      <c r="AA43" s="0" t="n">
        <v>-0.12</v>
      </c>
      <c r="AB43" s="0" t="n">
        <v>-1.86</v>
      </c>
      <c r="AC43" s="0" t="n">
        <v>-5.11</v>
      </c>
      <c r="AD43" s="0" t="n">
        <v>-0.43</v>
      </c>
      <c r="AE43" s="8" t="n">
        <f aca="false">IFERROR(AVERAGE(J43,M43,P43), "Fehler")</f>
        <v>-0.09</v>
      </c>
      <c r="AF43" s="8" t="n">
        <f aca="false">IFERROR(AVERAGE(K43,N43,Q43), "Fehler")</f>
        <v>0</v>
      </c>
      <c r="AG43" s="8" t="n">
        <f aca="false">IFERROR(AVERAGE(L43,O43,R43), "Fehler")</f>
        <v>0.1</v>
      </c>
      <c r="AH43" s="9" t="n">
        <f aca="false">IFERROR(AVERAGE(S43,V43,Y43), "Fehler")</f>
        <v>-0.333333333333333</v>
      </c>
      <c r="AI43" s="9" t="n">
        <f aca="false">IFERROR(AVERAGE(T43,W43,Z43), "Fehler")</f>
        <v>-1.51666666666667</v>
      </c>
      <c r="AJ43" s="9" t="n">
        <f aca="false">IFERROR(AVERAGE(U43,X43,AA43), "Fehler")</f>
        <v>-0.103333333333333</v>
      </c>
      <c r="AK43" s="10" t="n">
        <f aca="false">IFERROR(AVERAGE(AB43), "Fehler")</f>
        <v>-1.86</v>
      </c>
      <c r="AL43" s="10" t="n">
        <f aca="false">IFERROR(AVERAGE(AC43), "Fehler")</f>
        <v>-5.11</v>
      </c>
      <c r="AM43" s="10" t="n">
        <f aca="false">IFERROR(AVERAGE(AD43), "Fehler")</f>
        <v>-0.43</v>
      </c>
      <c r="AN43" s="8" t="n">
        <f aca="false">SUMPRODUCT(                            ABS(AE43:AG43)) / COUNT(AE43:AG43)</f>
        <v>0.0633333333333333</v>
      </c>
      <c r="AO43" s="9" t="n">
        <f aca="false">SUMPRODUCT(                            ABS(AH43:AJ43)) / COUNT(AH43:AJ43)</f>
        <v>0.651111111111111</v>
      </c>
      <c r="AP43" s="10" t="n">
        <f aca="false">SUMPRODUCT(                            ABS(AK43:AM43)) / COUNT(AK43:AM43)</f>
        <v>2.46666666666667</v>
      </c>
      <c r="AQ43" s="11" t="n">
        <f aca="false">SUMPRODUCT(ABS(AN43:AP43)) / COUNT(AN43:AP43)</f>
        <v>1.06037037037037</v>
      </c>
      <c r="AR43" s="15"/>
    </row>
    <row r="44" customFormat="false" ht="14.15" hidden="false" customHeight="true" outlineLevel="0" collapsed="false">
      <c r="A44" s="0" t="s">
        <v>95</v>
      </c>
      <c r="B44" s="0" t="s">
        <v>44</v>
      </c>
      <c r="C44" s="0" t="s">
        <v>69</v>
      </c>
      <c r="D44" s="0" t="s">
        <v>46</v>
      </c>
      <c r="E44" s="0" t="n">
        <v>3000</v>
      </c>
      <c r="F44" s="0" t="s">
        <v>96</v>
      </c>
      <c r="G44" s="0" t="n">
        <v>71.51</v>
      </c>
      <c r="H44" s="0" t="s">
        <v>92</v>
      </c>
      <c r="I44" s="0" t="n">
        <v>1520</v>
      </c>
      <c r="J44" s="0" t="n">
        <v>0.27</v>
      </c>
      <c r="K44" s="0" t="n">
        <v>0.28</v>
      </c>
      <c r="L44" s="0" t="n">
        <v>0.25</v>
      </c>
      <c r="M44" s="0" t="n">
        <v>-0.19</v>
      </c>
      <c r="N44" s="0" t="n">
        <v>-0.09</v>
      </c>
      <c r="O44" s="0" t="n">
        <v>-0.03</v>
      </c>
      <c r="P44" s="0" t="n">
        <v>-0.23</v>
      </c>
      <c r="Q44" s="0" t="n">
        <v>-0.16</v>
      </c>
      <c r="R44" s="0" t="n">
        <v>-0.1</v>
      </c>
      <c r="S44" s="0" t="n">
        <v>-0.3</v>
      </c>
      <c r="T44" s="0" t="n">
        <v>-1.08</v>
      </c>
      <c r="U44" s="0" t="n">
        <v>-0.14</v>
      </c>
      <c r="V44" s="0" t="n">
        <v>-0.35</v>
      </c>
      <c r="W44" s="0" t="n">
        <v>-1.89</v>
      </c>
      <c r="X44" s="0" t="n">
        <v>-0.15</v>
      </c>
      <c r="Y44" s="0" t="n">
        <v>-0.42</v>
      </c>
      <c r="Z44" s="0" t="n">
        <v>-2.92</v>
      </c>
      <c r="AA44" s="0" t="n">
        <v>-0.17</v>
      </c>
      <c r="AB44" s="0" t="n">
        <v>-1.02</v>
      </c>
      <c r="AC44" s="0" t="n">
        <v>-5.43</v>
      </c>
      <c r="AD44" s="0" t="n">
        <v>-0.91</v>
      </c>
      <c r="AE44" s="8" t="n">
        <f aca="false">IFERROR(AVERAGE(J44,M44,P44), "Fehler")</f>
        <v>-0.05</v>
      </c>
      <c r="AF44" s="8" t="n">
        <f aca="false">IFERROR(AVERAGE(K44,N44,Q44), "Fehler")</f>
        <v>0.01</v>
      </c>
      <c r="AG44" s="8" t="n">
        <f aca="false">IFERROR(AVERAGE(L44,O44,R44), "Fehler")</f>
        <v>0.04</v>
      </c>
      <c r="AH44" s="9" t="n">
        <f aca="false">IFERROR(AVERAGE(S44,V44,Y44), "Fehler")</f>
        <v>-0.356666666666667</v>
      </c>
      <c r="AI44" s="9" t="n">
        <f aca="false">IFERROR(AVERAGE(T44,W44,Z44), "Fehler")</f>
        <v>-1.96333333333333</v>
      </c>
      <c r="AJ44" s="9" t="n">
        <f aca="false">IFERROR(AVERAGE(U44,X44,AA44), "Fehler")</f>
        <v>-0.153333333333333</v>
      </c>
      <c r="AK44" s="10" t="n">
        <f aca="false">IFERROR(AVERAGE(AB44), "Fehler")</f>
        <v>-1.02</v>
      </c>
      <c r="AL44" s="10" t="n">
        <f aca="false">IFERROR(AVERAGE(AC44), "Fehler")</f>
        <v>-5.43</v>
      </c>
      <c r="AM44" s="10" t="n">
        <f aca="false">IFERROR(AVERAGE(AD44), "Fehler")</f>
        <v>-0.91</v>
      </c>
      <c r="AN44" s="8" t="n">
        <f aca="false">SUMPRODUCT(                            ABS(AE44:AG44)) / COUNT(AE44:AG44)</f>
        <v>0.0333333333333333</v>
      </c>
      <c r="AO44" s="9" t="n">
        <f aca="false">SUMPRODUCT(                            ABS(AH44:AJ44)) / COUNT(AH44:AJ44)</f>
        <v>0.824444444444444</v>
      </c>
      <c r="AP44" s="10" t="n">
        <f aca="false">SUMPRODUCT(                            ABS(AK44:AM44)) / COUNT(AK44:AM44)</f>
        <v>2.45333333333333</v>
      </c>
      <c r="AQ44" s="11" t="n">
        <f aca="false">SUMPRODUCT(ABS(AN44:AP44)) / COUNT(AN44:AP44)</f>
        <v>1.1037037037037</v>
      </c>
      <c r="AR44" s="12" t="n">
        <f aca="false">(1-  AQ45/AQ44)*100</f>
        <v>81.7114093959732</v>
      </c>
    </row>
    <row r="45" customFormat="false" ht="14.15" hidden="false" customHeight="true" outlineLevel="0" collapsed="false">
      <c r="A45" s="0" t="s">
        <v>70</v>
      </c>
      <c r="B45" s="0" t="s">
        <v>44</v>
      </c>
      <c r="C45" s="0" t="s">
        <v>69</v>
      </c>
      <c r="D45" s="0" t="s">
        <v>49</v>
      </c>
      <c r="E45" s="0" t="n">
        <v>3000</v>
      </c>
      <c r="F45" s="0" t="s">
        <v>47</v>
      </c>
      <c r="G45" s="0" t="n">
        <v>71.51</v>
      </c>
      <c r="H45" s="0" t="s">
        <v>87</v>
      </c>
      <c r="I45" s="0" t="n">
        <v>1520</v>
      </c>
      <c r="J45" s="0" t="n">
        <v>0.14</v>
      </c>
      <c r="K45" s="0" t="n">
        <v>0.2</v>
      </c>
      <c r="L45" s="0" t="n">
        <v>0.33</v>
      </c>
      <c r="M45" s="0" t="n">
        <v>-0.17</v>
      </c>
      <c r="N45" s="0" t="n">
        <v>-0.09</v>
      </c>
      <c r="O45" s="0" t="n">
        <v>0.06</v>
      </c>
      <c r="P45" s="0" t="n">
        <v>-0.26</v>
      </c>
      <c r="Q45" s="0" t="n">
        <v>-0.17</v>
      </c>
      <c r="R45" s="0" t="n">
        <v>-0.05</v>
      </c>
      <c r="S45" s="0" t="n">
        <v>-0.31</v>
      </c>
      <c r="T45" s="0" t="n">
        <v>-0.2</v>
      </c>
      <c r="U45" s="0" t="n">
        <v>-0.11</v>
      </c>
      <c r="V45" s="0" t="n">
        <v>-0.34</v>
      </c>
      <c r="W45" s="0" t="n">
        <v>-0.2</v>
      </c>
      <c r="X45" s="0" t="n">
        <v>-0.14</v>
      </c>
      <c r="Y45" s="0" t="n">
        <v>-0.39</v>
      </c>
      <c r="Z45" s="0" t="n">
        <v>-0.21</v>
      </c>
      <c r="AA45" s="0" t="n">
        <v>-0.04</v>
      </c>
      <c r="AB45" s="0" t="n">
        <v>-0.69</v>
      </c>
      <c r="AC45" s="0" t="n">
        <v>-0.23</v>
      </c>
      <c r="AD45" s="0" t="n">
        <v>-0.02</v>
      </c>
      <c r="AE45" s="8" t="n">
        <f aca="false">IFERROR(AVERAGE(J45,M45,P45), "Fehler")</f>
        <v>-0.0966666666666667</v>
      </c>
      <c r="AF45" s="8" t="n">
        <f aca="false">IFERROR(AVERAGE(K45,N45,Q45), "Fehler")</f>
        <v>-0.02</v>
      </c>
      <c r="AG45" s="8" t="n">
        <f aca="false">IFERROR(AVERAGE(L45,O45,R45), "Fehler")</f>
        <v>0.113333333333333</v>
      </c>
      <c r="AH45" s="9" t="n">
        <f aca="false">IFERROR(AVERAGE(S45,V45,Y45), "Fehler")</f>
        <v>-0.346666666666667</v>
      </c>
      <c r="AI45" s="9" t="n">
        <f aca="false">IFERROR(AVERAGE(T45,W45,Z45), "Fehler")</f>
        <v>-0.203333333333333</v>
      </c>
      <c r="AJ45" s="9" t="n">
        <f aca="false">IFERROR(AVERAGE(U45,X45,AA45), "Fehler")</f>
        <v>-0.0966666666666667</v>
      </c>
      <c r="AK45" s="10" t="n">
        <f aca="false">IFERROR(AVERAGE(AB45), "Fehler")</f>
        <v>-0.69</v>
      </c>
      <c r="AL45" s="10" t="n">
        <f aca="false">IFERROR(AVERAGE(AC45), "Fehler")</f>
        <v>-0.23</v>
      </c>
      <c r="AM45" s="10" t="n">
        <f aca="false">IFERROR(AVERAGE(AD45), "Fehler")</f>
        <v>-0.02</v>
      </c>
      <c r="AN45" s="8" t="n">
        <f aca="false">SUMPRODUCT(                            ABS(AE45:AG45)) / COUNT(AE45:AG45)</f>
        <v>0.0766666666666667</v>
      </c>
      <c r="AO45" s="9" t="n">
        <f aca="false">SUMPRODUCT(                            ABS(AH45:AJ45)) / COUNT(AH45:AJ45)</f>
        <v>0.215555555555556</v>
      </c>
      <c r="AP45" s="10" t="n">
        <f aca="false">SUMPRODUCT(                            ABS(AK45:AM45)) / COUNT(AK45:AM45)</f>
        <v>0.313333333333333</v>
      </c>
      <c r="AQ45" s="11" t="n">
        <f aca="false">SUMPRODUCT(ABS(AN45:AP45)) / COUNT(AN45:AP45)</f>
        <v>0.201851851851852</v>
      </c>
      <c r="AR45" s="15"/>
    </row>
    <row r="46" customFormat="false" ht="14.15" hidden="false" customHeight="true" outlineLevel="0" collapsed="false">
      <c r="A46" s="0" t="s">
        <v>71</v>
      </c>
      <c r="B46" s="0" t="s">
        <v>44</v>
      </c>
      <c r="C46" s="0" t="s">
        <v>72</v>
      </c>
      <c r="D46" s="0" t="s">
        <v>46</v>
      </c>
      <c r="E46" s="0" t="n">
        <v>3000</v>
      </c>
      <c r="F46" s="0" t="s">
        <v>52</v>
      </c>
      <c r="G46" s="0" t="n">
        <v>346.06</v>
      </c>
      <c r="H46" s="0" t="s">
        <v>87</v>
      </c>
      <c r="I46" s="0" t="n">
        <v>1520</v>
      </c>
      <c r="J46" s="0" t="n">
        <v>0.19</v>
      </c>
      <c r="K46" s="0" t="n">
        <v>0.21</v>
      </c>
      <c r="L46" s="0" t="n">
        <v>0.35</v>
      </c>
      <c r="M46" s="0" t="n">
        <v>-0.07</v>
      </c>
      <c r="N46" s="0" t="n">
        <v>-0.01</v>
      </c>
      <c r="O46" s="0" t="n">
        <v>0.11</v>
      </c>
      <c r="P46" s="0" t="n">
        <v>-0.18</v>
      </c>
      <c r="Q46" s="0" t="n">
        <v>-0.1</v>
      </c>
      <c r="R46" s="0" t="n">
        <v>0</v>
      </c>
      <c r="S46" s="0" t="n">
        <v>-0.17</v>
      </c>
      <c r="T46" s="0" t="n">
        <v>-0.07</v>
      </c>
      <c r="U46" s="0" t="n">
        <v>-0.03</v>
      </c>
      <c r="V46" s="0" t="n">
        <v>-0.15</v>
      </c>
      <c r="W46" s="0" t="n">
        <v>0.02</v>
      </c>
      <c r="X46" s="0" t="n">
        <v>-0.02</v>
      </c>
      <c r="Y46" s="0" t="n">
        <v>-0.12</v>
      </c>
      <c r="Z46" s="0" t="n">
        <v>0.27</v>
      </c>
      <c r="AA46" s="0" t="n">
        <v>0.01</v>
      </c>
      <c r="AB46" s="0" t="n">
        <v>-0.07</v>
      </c>
      <c r="AC46" s="0" t="n">
        <v>0.93</v>
      </c>
      <c r="AD46" s="0" t="n">
        <v>0.08</v>
      </c>
      <c r="AE46" s="8" t="n">
        <f aca="false">IFERROR(AVERAGE(J46,M46,P46), "Fehler")</f>
        <v>-0.02</v>
      </c>
      <c r="AF46" s="8" t="n">
        <f aca="false">IFERROR(AVERAGE(K46,N46,Q46), "Fehler")</f>
        <v>0.0333333333333333</v>
      </c>
      <c r="AG46" s="8" t="n">
        <f aca="false">IFERROR(AVERAGE(L46,O46,R46), "Fehler")</f>
        <v>0.153333333333333</v>
      </c>
      <c r="AH46" s="9" t="n">
        <f aca="false">IFERROR(AVERAGE(S46,V46,Y46), "Fehler")</f>
        <v>-0.146666666666667</v>
      </c>
      <c r="AI46" s="9" t="n">
        <f aca="false">IFERROR(AVERAGE(T46,W46,Z46), "Fehler")</f>
        <v>0.0733333333333333</v>
      </c>
      <c r="AJ46" s="9" t="n">
        <f aca="false">IFERROR(AVERAGE(U46,X46,AA46), "Fehler")</f>
        <v>-0.0133333333333333</v>
      </c>
      <c r="AK46" s="10" t="n">
        <f aca="false">IFERROR(AVERAGE(AB46), "Fehler")</f>
        <v>-0.07</v>
      </c>
      <c r="AL46" s="10" t="n">
        <f aca="false">IFERROR(AVERAGE(AC46), "Fehler")</f>
        <v>0.93</v>
      </c>
      <c r="AM46" s="10" t="n">
        <f aca="false">IFERROR(AVERAGE(AD46), "Fehler")</f>
        <v>0.08</v>
      </c>
      <c r="AN46" s="8" t="n">
        <f aca="false">SUMPRODUCT(                            ABS(AE46:AG46)) / COUNT(AE46:AG46)</f>
        <v>0.0688888888888889</v>
      </c>
      <c r="AO46" s="9" t="n">
        <f aca="false">SUMPRODUCT(                            ABS(AH46:AJ46)) / COUNT(AH46:AJ46)</f>
        <v>0.0777777777777778</v>
      </c>
      <c r="AP46" s="10" t="n">
        <f aca="false">SUMPRODUCT(                            ABS(AK46:AM46)) / COUNT(AK46:AM46)</f>
        <v>0.36</v>
      </c>
      <c r="AQ46" s="11" t="n">
        <f aca="false">SUMPRODUCT(ABS(AN46:AP46)) / COUNT(AN46:AP46)</f>
        <v>0.168888888888889</v>
      </c>
      <c r="AR46" s="12" t="n">
        <f aca="false">(1-  AQ47/AQ46)*100</f>
        <v>47.1491228070175</v>
      </c>
    </row>
    <row r="47" customFormat="false" ht="14.15" hidden="false" customHeight="true" outlineLevel="0" collapsed="false">
      <c r="A47" s="0" t="s">
        <v>73</v>
      </c>
      <c r="B47" s="0" t="s">
        <v>44</v>
      </c>
      <c r="C47" s="0" t="s">
        <v>72</v>
      </c>
      <c r="D47" s="0" t="s">
        <v>49</v>
      </c>
      <c r="E47" s="0" t="n">
        <v>3000</v>
      </c>
      <c r="F47" s="0" t="s">
        <v>52</v>
      </c>
      <c r="G47" s="0" t="n">
        <v>346.06</v>
      </c>
      <c r="H47" s="0" t="s">
        <v>87</v>
      </c>
      <c r="I47" s="0" t="n">
        <v>1520</v>
      </c>
      <c r="J47" s="0" t="n">
        <v>0.27</v>
      </c>
      <c r="K47" s="0" t="n">
        <v>0.3</v>
      </c>
      <c r="L47" s="0" t="n">
        <v>0.34</v>
      </c>
      <c r="M47" s="0" t="n">
        <v>-0.09</v>
      </c>
      <c r="N47" s="0" t="n">
        <v>0.02</v>
      </c>
      <c r="O47" s="0" t="n">
        <v>0.15</v>
      </c>
      <c r="P47" s="0" t="n">
        <v>-0.17</v>
      </c>
      <c r="Q47" s="0" t="n">
        <v>-0.07</v>
      </c>
      <c r="R47" s="0" t="n">
        <v>0.14</v>
      </c>
      <c r="S47" s="0" t="n">
        <v>-0.18</v>
      </c>
      <c r="T47" s="0" t="n">
        <v>-0.11</v>
      </c>
      <c r="U47" s="0" t="n">
        <v>0.17</v>
      </c>
      <c r="V47" s="0" t="n">
        <v>-0.16</v>
      </c>
      <c r="W47" s="0" t="n">
        <v>-0.09</v>
      </c>
      <c r="X47" s="0" t="n">
        <v>-0.04</v>
      </c>
      <c r="Y47" s="0" t="n">
        <v>-0.14</v>
      </c>
      <c r="Z47" s="0" t="n">
        <v>-0.07</v>
      </c>
      <c r="AA47" s="0" t="n">
        <v>-0.05</v>
      </c>
      <c r="AB47" s="0" t="n">
        <v>-0.08</v>
      </c>
      <c r="AC47" s="0" t="n">
        <v>0.1</v>
      </c>
      <c r="AD47" s="0" t="n">
        <v>-0.05</v>
      </c>
      <c r="AE47" s="8" t="n">
        <f aca="false">IFERROR(AVERAGE(J47,M47,P47), "Fehler")</f>
        <v>0.00333333333333334</v>
      </c>
      <c r="AF47" s="8" t="n">
        <f aca="false">IFERROR(AVERAGE(K47,N47,Q47), "Fehler")</f>
        <v>0.0833333333333333</v>
      </c>
      <c r="AG47" s="8" t="n">
        <f aca="false">IFERROR(AVERAGE(L47,O47,R47), "Fehler")</f>
        <v>0.21</v>
      </c>
      <c r="AH47" s="9" t="n">
        <f aca="false">IFERROR(AVERAGE(S47,V47,Y47), "Fehler")</f>
        <v>-0.16</v>
      </c>
      <c r="AI47" s="9" t="n">
        <f aca="false">IFERROR(AVERAGE(T47,W47,Z47), "Fehler")</f>
        <v>-0.09</v>
      </c>
      <c r="AJ47" s="9" t="n">
        <f aca="false">IFERROR(AVERAGE(U47,X47,AA47), "Fehler")</f>
        <v>0.0266666666666667</v>
      </c>
      <c r="AK47" s="10" t="n">
        <f aca="false">IFERROR(AVERAGE(AB47), "Fehler")</f>
        <v>-0.08</v>
      </c>
      <c r="AL47" s="10" t="n">
        <f aca="false">IFERROR(AVERAGE(AC47), "Fehler")</f>
        <v>0.1</v>
      </c>
      <c r="AM47" s="10" t="n">
        <f aca="false">IFERROR(AVERAGE(AD47), "Fehler")</f>
        <v>-0.05</v>
      </c>
      <c r="AN47" s="8" t="n">
        <f aca="false">SUMPRODUCT(                            ABS(AE47:AG47)) / COUNT(AE47:AG47)</f>
        <v>0.0988888888888889</v>
      </c>
      <c r="AO47" s="9" t="n">
        <f aca="false">SUMPRODUCT(                            ABS(AH47:AJ47)) / COUNT(AH47:AJ47)</f>
        <v>0.0922222222222222</v>
      </c>
      <c r="AP47" s="10" t="n">
        <f aca="false">SUMPRODUCT(                            ABS(AK47:AM47)) / COUNT(AK47:AM47)</f>
        <v>0.0766666666666667</v>
      </c>
      <c r="AQ47" s="11" t="n">
        <f aca="false">SUMPRODUCT(ABS(AN47:AP47)) / COUNT(AN47:AP47)</f>
        <v>0.0892592592592593</v>
      </c>
      <c r="AR47" s="15"/>
    </row>
    <row r="48" customFormat="false" ht="14.15" hidden="false" customHeight="true" outlineLevel="0" collapsed="false">
      <c r="A48" s="0" t="s">
        <v>97</v>
      </c>
      <c r="B48" s="0" t="s">
        <v>98</v>
      </c>
      <c r="C48" s="0" t="s">
        <v>99</v>
      </c>
      <c r="D48" s="0" t="s">
        <v>100</v>
      </c>
      <c r="E48" s="0" t="n">
        <v>4000</v>
      </c>
      <c r="F48" s="0" t="s">
        <v>101</v>
      </c>
      <c r="G48" s="0" t="n">
        <v>1</v>
      </c>
      <c r="H48" s="0" t="s">
        <v>102</v>
      </c>
      <c r="I48" s="0" t="n">
        <v>1</v>
      </c>
      <c r="J48" s="0" t="n">
        <v>-0.2</v>
      </c>
      <c r="K48" s="0" t="n">
        <v>-4.4</v>
      </c>
      <c r="L48" s="0" t="n">
        <v>-6.67</v>
      </c>
      <c r="M48" s="0" t="n">
        <v>-0.3</v>
      </c>
      <c r="N48" s="0" t="n">
        <v>-1.54</v>
      </c>
      <c r="O48" s="0" t="n">
        <v>-2.68</v>
      </c>
      <c r="P48" s="0" t="n">
        <v>0.63</v>
      </c>
      <c r="Q48" s="0" t="n">
        <v>-0.43</v>
      </c>
      <c r="R48" s="0" t="n">
        <v>-0.81</v>
      </c>
      <c r="S48" s="0" t="n">
        <v>0.62</v>
      </c>
      <c r="T48" s="0" t="n">
        <v>-0.27</v>
      </c>
      <c r="U48" s="0" t="n">
        <v>-0.44</v>
      </c>
      <c r="V48" s="0" t="n">
        <v>0.67</v>
      </c>
      <c r="W48" s="0" t="n">
        <v>-0.19</v>
      </c>
      <c r="X48" s="0" t="n">
        <v>-0.35</v>
      </c>
      <c r="Y48" s="0" t="n">
        <v>0.64</v>
      </c>
      <c r="Z48" s="0" t="n">
        <v>-0.19</v>
      </c>
      <c r="AA48" s="0" t="n">
        <v>-0.31</v>
      </c>
      <c r="AB48" s="0" t="n">
        <v>0.69</v>
      </c>
      <c r="AC48" s="0" t="n">
        <v>-0.11</v>
      </c>
      <c r="AD48" s="0" t="n">
        <v>-0.25</v>
      </c>
      <c r="AE48" s="8" t="n">
        <f aca="false">IFERROR(AVERAGE(J48,M48,P48), "Fehler")</f>
        <v>0.0433333333333333</v>
      </c>
      <c r="AF48" s="8" t="n">
        <f aca="false">IFERROR(AVERAGE(K48,N48,Q48), "Fehler")</f>
        <v>-2.12333333333333</v>
      </c>
      <c r="AG48" s="8" t="n">
        <f aca="false">IFERROR(AVERAGE(L48,O48,R48), "Fehler")</f>
        <v>-3.38666666666667</v>
      </c>
      <c r="AH48" s="9" t="n">
        <f aca="false">IFERROR(AVERAGE(S48,V48,Y48), "Fehler")</f>
        <v>0.643333333333333</v>
      </c>
      <c r="AI48" s="9" t="n">
        <f aca="false">IFERROR(AVERAGE(T48,W48,Z48), "Fehler")</f>
        <v>-0.216666666666667</v>
      </c>
      <c r="AJ48" s="9" t="n">
        <f aca="false">IFERROR(AVERAGE(U48,X48,AA48), "Fehler")</f>
        <v>-0.366666666666667</v>
      </c>
      <c r="AK48" s="10" t="n">
        <f aca="false">IFERROR(AVERAGE(AB48), "Fehler")</f>
        <v>0.69</v>
      </c>
      <c r="AL48" s="10" t="n">
        <f aca="false">IFERROR(AVERAGE(AC48), "Fehler")</f>
        <v>-0.11</v>
      </c>
      <c r="AM48" s="10" t="n">
        <f aca="false">IFERROR(AVERAGE(AD48), "Fehler")</f>
        <v>-0.25</v>
      </c>
      <c r="AN48" s="8" t="n">
        <f aca="false">SUMPRODUCT(                            ABS(AE48:AG48)) / COUNT(AE48:AG48)</f>
        <v>1.85111111111111</v>
      </c>
      <c r="AO48" s="9" t="n">
        <f aca="false">SUMPRODUCT(                            ABS(AH48:AJ48)) / COUNT(AH48:AJ48)</f>
        <v>0.408888888888889</v>
      </c>
      <c r="AP48" s="10" t="n">
        <f aca="false">SUMPRODUCT(                            ABS(AK48:AM48)) / COUNT(AK48:AM48)</f>
        <v>0.35</v>
      </c>
      <c r="AQ48" s="11" t="n">
        <f aca="false">SUMPRODUCT(ABS(AN48:AP48)) / COUNT(AN48:AP48)</f>
        <v>0.87</v>
      </c>
      <c r="AR48" s="12" t="n">
        <f aca="false">(1-  AQ49/AQ48)*100</f>
        <v>-104.767986377182</v>
      </c>
    </row>
    <row r="49" customFormat="false" ht="14.15" hidden="false" customHeight="true" outlineLevel="0" collapsed="false">
      <c r="A49" s="0" t="s">
        <v>74</v>
      </c>
      <c r="B49" s="0" t="s">
        <v>44</v>
      </c>
      <c r="C49" s="0" t="s">
        <v>69</v>
      </c>
      <c r="D49" s="0" t="s">
        <v>46</v>
      </c>
      <c r="E49" s="0" t="n">
        <v>4000</v>
      </c>
      <c r="F49" s="0" t="s">
        <v>47</v>
      </c>
      <c r="G49" s="0" t="n">
        <v>71.51</v>
      </c>
      <c r="H49" s="0" t="s">
        <v>103</v>
      </c>
      <c r="I49" s="0" t="n">
        <v>1520</v>
      </c>
      <c r="J49" s="0" t="n">
        <v>0.22</v>
      </c>
      <c r="K49" s="0" t="n">
        <v>0.14</v>
      </c>
      <c r="L49" s="0" t="n">
        <v>0.11</v>
      </c>
      <c r="M49" s="0" t="n">
        <v>-0.03</v>
      </c>
      <c r="N49" s="0" t="n">
        <v>-0.07</v>
      </c>
      <c r="O49" s="0" t="n">
        <v>-0.12</v>
      </c>
      <c r="P49" s="0" t="n">
        <v>-0.12</v>
      </c>
      <c r="Q49" s="0" t="n">
        <v>-0.12</v>
      </c>
      <c r="R49" s="0" t="n">
        <v>-0.16</v>
      </c>
      <c r="S49" s="0" t="n">
        <v>-0.14</v>
      </c>
      <c r="T49" s="0" t="n">
        <v>-0.95</v>
      </c>
      <c r="U49" s="0" t="n">
        <v>-0.2</v>
      </c>
      <c r="V49" s="0" t="n">
        <v>-0.2</v>
      </c>
      <c r="W49" s="0" t="n">
        <v>-2.03</v>
      </c>
      <c r="X49" s="0" t="n">
        <v>-0.36</v>
      </c>
      <c r="Y49" s="0" t="n">
        <v>-0.7</v>
      </c>
      <c r="Z49" s="0" t="n">
        <v>-3.28</v>
      </c>
      <c r="AA49" s="0" t="n">
        <v>-1.22</v>
      </c>
      <c r="AB49" s="0" t="n">
        <v>-3.21</v>
      </c>
      <c r="AC49" s="0" t="n">
        <v>-5.86</v>
      </c>
      <c r="AD49" s="0" t="n">
        <v>-3.84</v>
      </c>
      <c r="AE49" s="8" t="n">
        <f aca="false">IFERROR(AVERAGE(J49,M49,P49), "Fehler")</f>
        <v>0.0233333333333333</v>
      </c>
      <c r="AF49" s="8" t="n">
        <f aca="false">IFERROR(AVERAGE(K49,N49,Q49), "Fehler")</f>
        <v>-0.0166666666666667</v>
      </c>
      <c r="AG49" s="8" t="n">
        <f aca="false">IFERROR(AVERAGE(L49,O49,R49), "Fehler")</f>
        <v>-0.0566666666666667</v>
      </c>
      <c r="AH49" s="9" t="n">
        <f aca="false">IFERROR(AVERAGE(S49,V49,Y49), "Fehler")</f>
        <v>-0.346666666666667</v>
      </c>
      <c r="AI49" s="9" t="n">
        <f aca="false">IFERROR(AVERAGE(T49,W49,Z49), "Fehler")</f>
        <v>-2.08666666666667</v>
      </c>
      <c r="AJ49" s="9" t="n">
        <f aca="false">IFERROR(AVERAGE(U49,X49,AA49), "Fehler")</f>
        <v>-0.593333333333333</v>
      </c>
      <c r="AK49" s="10" t="n">
        <f aca="false">IFERROR(AVERAGE(AB49), "Fehler")</f>
        <v>-3.21</v>
      </c>
      <c r="AL49" s="10" t="n">
        <f aca="false">IFERROR(AVERAGE(AC49), "Fehler")</f>
        <v>-5.86</v>
      </c>
      <c r="AM49" s="10" t="n">
        <f aca="false">IFERROR(AVERAGE(AD49), "Fehler")</f>
        <v>-3.84</v>
      </c>
      <c r="AN49" s="8" t="n">
        <f aca="false">SUMPRODUCT(                            ABS(AE49:AG49)) / COUNT(AE49:AG49)</f>
        <v>0.0322222222222222</v>
      </c>
      <c r="AO49" s="9" t="n">
        <f aca="false">SUMPRODUCT(                            ABS(AH49:AJ49)) / COUNT(AH49:AJ49)</f>
        <v>1.00888888888889</v>
      </c>
      <c r="AP49" s="10" t="n">
        <f aca="false">SUMPRODUCT(                            ABS(AK49:AM49)) / COUNT(AK49:AM49)</f>
        <v>4.30333333333333</v>
      </c>
      <c r="AQ49" s="11" t="n">
        <f aca="false">SUMPRODUCT(ABS(AN49:AP49)) / COUNT(AN49:AP49)</f>
        <v>1.78148148148148</v>
      </c>
      <c r="AR49" s="15"/>
    </row>
    <row r="50" customFormat="false" ht="14.15" hidden="false" customHeight="true" outlineLevel="0" collapsed="false">
      <c r="A50" s="0" t="s">
        <v>75</v>
      </c>
      <c r="B50" s="0" t="s">
        <v>44</v>
      </c>
      <c r="C50" s="0" t="s">
        <v>69</v>
      </c>
      <c r="D50" s="0" t="s">
        <v>49</v>
      </c>
      <c r="E50" s="0" t="n">
        <v>4000</v>
      </c>
      <c r="F50" s="0" t="s">
        <v>47</v>
      </c>
      <c r="G50" s="0" t="n">
        <v>71.51</v>
      </c>
      <c r="H50" s="0" t="s">
        <v>103</v>
      </c>
      <c r="I50" s="0" t="n">
        <v>1520</v>
      </c>
      <c r="J50" s="0" t="n">
        <v>0.25</v>
      </c>
      <c r="K50" s="0" t="n">
        <v>0.15</v>
      </c>
      <c r="L50" s="0" t="n">
        <v>0.08</v>
      </c>
      <c r="M50" s="0" t="n">
        <v>-0.04</v>
      </c>
      <c r="N50" s="0" t="n">
        <v>-0.09</v>
      </c>
      <c r="O50" s="0" t="n">
        <v>-0.11</v>
      </c>
      <c r="P50" s="0" t="n">
        <v>-0.12</v>
      </c>
      <c r="Q50" s="0" t="n">
        <v>-0.13</v>
      </c>
      <c r="R50" s="0" t="n">
        <v>-0.17</v>
      </c>
      <c r="S50" s="0" t="n">
        <v>-0.14</v>
      </c>
      <c r="T50" s="0" t="n">
        <v>-0.15</v>
      </c>
      <c r="U50" s="0" t="n">
        <v>-0.19</v>
      </c>
      <c r="V50" s="0" t="n">
        <v>-0.16</v>
      </c>
      <c r="W50" s="0" t="n">
        <v>-0.14</v>
      </c>
      <c r="X50" s="0" t="n">
        <v>-0.21</v>
      </c>
      <c r="Y50" s="0" t="n">
        <v>-0.23</v>
      </c>
      <c r="Z50" s="0" t="n">
        <v>-0.15</v>
      </c>
      <c r="AA50" s="0" t="n">
        <v>-0.3</v>
      </c>
      <c r="AB50" s="0" t="n">
        <v>-1.49</v>
      </c>
      <c r="AC50" s="0" t="n">
        <v>0.29</v>
      </c>
      <c r="AD50" s="0" t="n">
        <v>-1.71</v>
      </c>
      <c r="AE50" s="8" t="n">
        <f aca="false">IFERROR(AVERAGE(J50,M50,P50), "Fehler")</f>
        <v>0.03</v>
      </c>
      <c r="AF50" s="8" t="n">
        <f aca="false">IFERROR(AVERAGE(K50,N50,Q50), "Fehler")</f>
        <v>-0.0233333333333333</v>
      </c>
      <c r="AG50" s="8" t="n">
        <f aca="false">IFERROR(AVERAGE(L50,O50,R50), "Fehler")</f>
        <v>-0.0666666666666667</v>
      </c>
      <c r="AH50" s="9" t="n">
        <f aca="false">IFERROR(AVERAGE(S50,V50,Y50), "Fehler")</f>
        <v>-0.176666666666667</v>
      </c>
      <c r="AI50" s="9" t="n">
        <f aca="false">IFERROR(AVERAGE(T50,W50,Z50), "Fehler")</f>
        <v>-0.146666666666667</v>
      </c>
      <c r="AJ50" s="9" t="n">
        <f aca="false">IFERROR(AVERAGE(U50,X50,AA50), "Fehler")</f>
        <v>-0.233333333333333</v>
      </c>
      <c r="AK50" s="10" t="n">
        <f aca="false">IFERROR(AVERAGE(AB50), "Fehler")</f>
        <v>-1.49</v>
      </c>
      <c r="AL50" s="10" t="n">
        <f aca="false">IFERROR(AVERAGE(AC50), "Fehler")</f>
        <v>0.29</v>
      </c>
      <c r="AM50" s="10" t="n">
        <f aca="false">IFERROR(AVERAGE(AD50), "Fehler")</f>
        <v>-1.71</v>
      </c>
      <c r="AN50" s="8" t="n">
        <f aca="false">SUMPRODUCT(                            ABS(AE50:AG50)) / COUNT(AE50:AG50)</f>
        <v>0.04</v>
      </c>
      <c r="AO50" s="9" t="n">
        <f aca="false">SUMPRODUCT(                            ABS(AH50:AJ50)) / COUNT(AH50:AJ50)</f>
        <v>0.185555555555556</v>
      </c>
      <c r="AP50" s="10" t="n">
        <f aca="false">SUMPRODUCT(                            ABS(AK50:AM50)) / COUNT(AK50:AM50)</f>
        <v>1.16333333333333</v>
      </c>
      <c r="AQ50" s="11" t="n">
        <f aca="false">SUMPRODUCT(ABS(AN50:AP50)) / COUNT(AN50:AP50)</f>
        <v>0.462962962962963</v>
      </c>
      <c r="AR50" s="12" t="n">
        <f aca="false">(1-  AQ51/AQ50)*100</f>
        <v>70.88</v>
      </c>
    </row>
    <row r="51" customFormat="false" ht="14.15" hidden="false" customHeight="true" outlineLevel="0" collapsed="false">
      <c r="A51" s="0" t="s">
        <v>76</v>
      </c>
      <c r="B51" s="0" t="s">
        <v>44</v>
      </c>
      <c r="C51" s="0" t="s">
        <v>72</v>
      </c>
      <c r="D51" s="0" t="s">
        <v>46</v>
      </c>
      <c r="E51" s="0" t="n">
        <v>4000</v>
      </c>
      <c r="F51" s="0" t="s">
        <v>52</v>
      </c>
      <c r="G51" s="0" t="n">
        <v>401.91</v>
      </c>
      <c r="H51" s="0" t="s">
        <v>103</v>
      </c>
      <c r="I51" s="0" t="n">
        <v>1520</v>
      </c>
      <c r="J51" s="0" t="n">
        <v>0.33</v>
      </c>
      <c r="K51" s="0" t="n">
        <v>0.11</v>
      </c>
      <c r="L51" s="0" t="n">
        <v>0.21</v>
      </c>
      <c r="M51" s="0" t="n">
        <v>0.09</v>
      </c>
      <c r="N51" s="0" t="n">
        <v>-0.11</v>
      </c>
      <c r="O51" s="0" t="n">
        <v>0.03</v>
      </c>
      <c r="P51" s="0" t="n">
        <v>0.04</v>
      </c>
      <c r="Q51" s="0" t="n">
        <v>-0.17</v>
      </c>
      <c r="R51" s="0" t="n">
        <v>-0.04</v>
      </c>
      <c r="S51" s="0" t="n">
        <v>0.04</v>
      </c>
      <c r="T51" s="0" t="n">
        <v>-0.17</v>
      </c>
      <c r="U51" s="0" t="n">
        <v>-0.06</v>
      </c>
      <c r="V51" s="0" t="n">
        <v>0.04</v>
      </c>
      <c r="W51" s="0" t="n">
        <v>-0.18</v>
      </c>
      <c r="X51" s="0" t="n">
        <v>-0.06</v>
      </c>
      <c r="Y51" s="0" t="n">
        <v>0.06</v>
      </c>
      <c r="Z51" s="0" t="n">
        <v>-0.2</v>
      </c>
      <c r="AA51" s="0" t="n">
        <v>-0.05</v>
      </c>
      <c r="AB51" s="0" t="n">
        <v>0.04</v>
      </c>
      <c r="AC51" s="0" t="n">
        <v>-0.58</v>
      </c>
      <c r="AD51" s="0" t="n">
        <v>-0.03</v>
      </c>
      <c r="AE51" s="8" t="n">
        <f aca="false">IFERROR(AVERAGE(J51,M51,P51), "Fehler")</f>
        <v>0.153333333333333</v>
      </c>
      <c r="AF51" s="8" t="n">
        <f aca="false">IFERROR(AVERAGE(K51,N51,Q51), "Fehler")</f>
        <v>-0.0566666666666667</v>
      </c>
      <c r="AG51" s="8" t="n">
        <f aca="false">IFERROR(AVERAGE(L51,O51,R51), "Fehler")</f>
        <v>0.0666666666666667</v>
      </c>
      <c r="AH51" s="9" t="n">
        <f aca="false">IFERROR(AVERAGE(S51,V51,Y51), "Fehler")</f>
        <v>0.0466666666666667</v>
      </c>
      <c r="AI51" s="9" t="n">
        <f aca="false">IFERROR(AVERAGE(T51,W51,Z51), "Fehler")</f>
        <v>-0.183333333333333</v>
      </c>
      <c r="AJ51" s="9" t="n">
        <f aca="false">IFERROR(AVERAGE(U51,X51,AA51), "Fehler")</f>
        <v>-0.0566666666666667</v>
      </c>
      <c r="AK51" s="10" t="n">
        <f aca="false">IFERROR(AVERAGE(AB51), "Fehler")</f>
        <v>0.04</v>
      </c>
      <c r="AL51" s="10" t="n">
        <f aca="false">IFERROR(AVERAGE(AC51), "Fehler")</f>
        <v>-0.58</v>
      </c>
      <c r="AM51" s="10" t="n">
        <f aca="false">IFERROR(AVERAGE(AD51), "Fehler")</f>
        <v>-0.03</v>
      </c>
      <c r="AN51" s="8" t="n">
        <f aca="false">SUMPRODUCT(                            ABS(AE51:AG51)) / COUNT(AE51:AG51)</f>
        <v>0.0922222222222222</v>
      </c>
      <c r="AO51" s="9" t="n">
        <f aca="false">SUMPRODUCT(                            ABS(AH51:AJ51)) / COUNT(AH51:AJ51)</f>
        <v>0.0955555555555556</v>
      </c>
      <c r="AP51" s="10" t="n">
        <f aca="false">SUMPRODUCT(                            ABS(AK51:AM51)) / COUNT(AK51:AM51)</f>
        <v>0.216666666666667</v>
      </c>
      <c r="AQ51" s="11" t="n">
        <f aca="false">SUMPRODUCT(ABS(AN51:AP51)) / COUNT(AN51:AP51)</f>
        <v>0.134814814814815</v>
      </c>
      <c r="AR51" s="15"/>
    </row>
    <row r="52" customFormat="false" ht="14.15" hidden="false" customHeight="true" outlineLevel="0" collapsed="false">
      <c r="A52" s="0" t="s">
        <v>77</v>
      </c>
      <c r="B52" s="0" t="s">
        <v>44</v>
      </c>
      <c r="C52" s="0" t="s">
        <v>72</v>
      </c>
      <c r="D52" s="0" t="s">
        <v>49</v>
      </c>
      <c r="E52" s="0" t="n">
        <v>4000</v>
      </c>
      <c r="F52" s="0" t="s">
        <v>52</v>
      </c>
      <c r="G52" s="0" t="n">
        <v>401.91</v>
      </c>
      <c r="H52" s="0" t="s">
        <v>103</v>
      </c>
      <c r="I52" s="0" t="n">
        <v>1520</v>
      </c>
      <c r="J52" s="0" t="n">
        <v>0.42</v>
      </c>
      <c r="K52" s="0" t="n">
        <v>0.11</v>
      </c>
      <c r="L52" s="0" t="n">
        <v>0.27</v>
      </c>
      <c r="M52" s="0" t="n">
        <v>0.12</v>
      </c>
      <c r="N52" s="0" t="n">
        <v>-0.07</v>
      </c>
      <c r="O52" s="0" t="n">
        <v>0.04</v>
      </c>
      <c r="P52" s="0" t="n">
        <v>0.05</v>
      </c>
      <c r="Q52" s="0" t="n">
        <v>-0.16</v>
      </c>
      <c r="R52" s="0" t="n">
        <v>-0.03</v>
      </c>
      <c r="S52" s="0" t="n">
        <v>0.04</v>
      </c>
      <c r="T52" s="0" t="n">
        <v>-0.19</v>
      </c>
      <c r="U52" s="0" t="n">
        <v>-0.07</v>
      </c>
      <c r="V52" s="0" t="n">
        <v>0.04</v>
      </c>
      <c r="W52" s="0" t="n">
        <v>-0.19</v>
      </c>
      <c r="X52" s="0" t="n">
        <v>-0.07</v>
      </c>
      <c r="Y52" s="0" t="n">
        <v>0.06</v>
      </c>
      <c r="Z52" s="0" t="n">
        <v>-0.2</v>
      </c>
      <c r="AA52" s="0" t="n">
        <v>-0.07</v>
      </c>
      <c r="AB52" s="0" t="n">
        <v>0.08</v>
      </c>
      <c r="AC52" s="0" t="n">
        <v>-0.65</v>
      </c>
      <c r="AD52" s="0" t="n">
        <v>-0.06</v>
      </c>
      <c r="AE52" s="8" t="n">
        <f aca="false">IFERROR(AVERAGE(J52,M52,P52), "Fehler")</f>
        <v>0.196666666666667</v>
      </c>
      <c r="AF52" s="8" t="n">
        <f aca="false">IFERROR(AVERAGE(K52,N52,Q52), "Fehler")</f>
        <v>-0.04</v>
      </c>
      <c r="AG52" s="8" t="n">
        <f aca="false">IFERROR(AVERAGE(L52,O52,R52), "Fehler")</f>
        <v>0.0933333333333333</v>
      </c>
      <c r="AH52" s="9" t="n">
        <f aca="false">IFERROR(AVERAGE(S52,V52,Y52), "Fehler")</f>
        <v>0.0466666666666667</v>
      </c>
      <c r="AI52" s="9" t="n">
        <f aca="false">IFERROR(AVERAGE(T52,W52,Z52), "Fehler")</f>
        <v>-0.193333333333333</v>
      </c>
      <c r="AJ52" s="9" t="n">
        <f aca="false">IFERROR(AVERAGE(U52,X52,AA52), "Fehler")</f>
        <v>-0.07</v>
      </c>
      <c r="AK52" s="10" t="n">
        <f aca="false">IFERROR(AVERAGE(AB52), "Fehler")</f>
        <v>0.08</v>
      </c>
      <c r="AL52" s="10" t="n">
        <f aca="false">IFERROR(AVERAGE(AC52), "Fehler")</f>
        <v>-0.65</v>
      </c>
      <c r="AM52" s="10" t="n">
        <f aca="false">IFERROR(AVERAGE(AD52), "Fehler")</f>
        <v>-0.06</v>
      </c>
      <c r="AN52" s="8" t="n">
        <f aca="false">SUMPRODUCT(                            ABS(AE52:AG52)) / COUNT(AE52:AG52)</f>
        <v>0.11</v>
      </c>
      <c r="AO52" s="9" t="n">
        <f aca="false">SUMPRODUCT(                            ABS(AH52:AJ52)) / COUNT(AH52:AJ52)</f>
        <v>0.103333333333333</v>
      </c>
      <c r="AP52" s="10" t="n">
        <f aca="false">SUMPRODUCT(                            ABS(AK52:AM52)) / COUNT(AK52:AM52)</f>
        <v>0.263333333333333</v>
      </c>
      <c r="AQ52" s="11" t="n">
        <f aca="false">SUMPRODUCT(ABS(AN52:AP52)) / COUNT(AN52:AP52)</f>
        <v>0.158888888888889</v>
      </c>
      <c r="AR52" s="12" t="n">
        <f aca="false">(1-  AQ53/AQ52)*100</f>
        <v>-933.799533799534</v>
      </c>
    </row>
    <row r="53" customFormat="false" ht="14.15" hidden="false" customHeight="true" outlineLevel="0" collapsed="false">
      <c r="A53" s="0" t="s">
        <v>104</v>
      </c>
      <c r="B53" s="0" t="s">
        <v>55</v>
      </c>
      <c r="C53" s="0" t="s">
        <v>105</v>
      </c>
      <c r="D53" s="0" t="s">
        <v>100</v>
      </c>
      <c r="E53" s="0" t="n">
        <v>4000</v>
      </c>
      <c r="F53" s="0" t="s">
        <v>106</v>
      </c>
      <c r="G53" s="0" t="n">
        <v>1</v>
      </c>
      <c r="H53" s="0" t="s">
        <v>102</v>
      </c>
      <c r="I53" s="0" t="n">
        <v>1</v>
      </c>
      <c r="J53" s="0" t="n">
        <v>-2.64</v>
      </c>
      <c r="K53" s="0" t="n">
        <v>2.95</v>
      </c>
      <c r="L53" s="0" t="n">
        <v>-2.64</v>
      </c>
      <c r="M53" s="0" t="n">
        <v>-0.88</v>
      </c>
      <c r="N53" s="0" t="n">
        <v>1.97</v>
      </c>
      <c r="O53" s="0" t="n">
        <v>-0.88</v>
      </c>
      <c r="P53" s="0" t="n">
        <v>-0.86</v>
      </c>
      <c r="Q53" s="0" t="n">
        <v>1.24</v>
      </c>
      <c r="R53" s="0" t="n">
        <v>-0.86</v>
      </c>
      <c r="S53" s="0" t="n">
        <v>-0.87</v>
      </c>
      <c r="T53" s="0" t="n">
        <v>1.13</v>
      </c>
      <c r="U53" s="0" t="n">
        <v>-0.87</v>
      </c>
      <c r="V53" s="0" t="n">
        <v>-0.82</v>
      </c>
      <c r="W53" s="0" t="n">
        <v>1.02</v>
      </c>
      <c r="X53" s="0" t="n">
        <v>-0.82</v>
      </c>
      <c r="Y53" s="0" t="n">
        <v>-0.82</v>
      </c>
      <c r="Z53" s="0" t="n">
        <v>1.77</v>
      </c>
      <c r="AA53" s="0" t="n">
        <v>-0.82</v>
      </c>
      <c r="AB53" s="0" t="n">
        <v>-0.8</v>
      </c>
      <c r="AC53" s="0" t="n">
        <v>5.23</v>
      </c>
      <c r="AD53" s="0" t="n">
        <v>-0.8</v>
      </c>
      <c r="AE53" s="8" t="n">
        <f aca="false">IFERROR(AVERAGE(J53,M53,P53), "Fehler")</f>
        <v>-1.46</v>
      </c>
      <c r="AF53" s="8" t="n">
        <f aca="false">IFERROR(AVERAGE(K53,N53,Q53), "Fehler")</f>
        <v>2.05333333333333</v>
      </c>
      <c r="AG53" s="8" t="n">
        <f aca="false">IFERROR(AVERAGE(L53,O53,R53), "Fehler")</f>
        <v>-1.46</v>
      </c>
      <c r="AH53" s="9" t="n">
        <f aca="false">IFERROR(AVERAGE(S53,V53,Y53), "Fehler")</f>
        <v>-0.836666666666667</v>
      </c>
      <c r="AI53" s="9" t="n">
        <f aca="false">IFERROR(AVERAGE(T53,W53,Z53), "Fehler")</f>
        <v>1.30666666666667</v>
      </c>
      <c r="AJ53" s="9" t="n">
        <f aca="false">IFERROR(AVERAGE(U53,X53,AA53), "Fehler")</f>
        <v>-0.836666666666667</v>
      </c>
      <c r="AK53" s="10" t="n">
        <f aca="false">IFERROR(AVERAGE(AB53), "Fehler")</f>
        <v>-0.8</v>
      </c>
      <c r="AL53" s="10" t="n">
        <f aca="false">IFERROR(AVERAGE(AC53), "Fehler")</f>
        <v>5.23</v>
      </c>
      <c r="AM53" s="10" t="n">
        <f aca="false">IFERROR(AVERAGE(AD53), "Fehler")</f>
        <v>-0.8</v>
      </c>
      <c r="AN53" s="8" t="n">
        <f aca="false">SUMPRODUCT(                            ABS(AE53:AG53)) / COUNT(AE53:AG53)</f>
        <v>1.65777777777778</v>
      </c>
      <c r="AO53" s="9" t="n">
        <f aca="false">SUMPRODUCT(                            ABS(AH53:AJ53)) / COUNT(AH53:AJ53)</f>
        <v>0.993333333333333</v>
      </c>
      <c r="AP53" s="10" t="n">
        <f aca="false">SUMPRODUCT(                            ABS(AK53:AM53)) / COUNT(AK53:AM53)</f>
        <v>2.27666666666667</v>
      </c>
      <c r="AQ53" s="11" t="n">
        <f aca="false">SUMPRODUCT(ABS(AN53:AP53)) / COUNT(AN53:AP53)</f>
        <v>1.64259259259259</v>
      </c>
      <c r="AR53" s="15"/>
    </row>
    <row r="54" customFormat="false" ht="14.15" hidden="false" customHeight="true" outlineLevel="0" collapsed="false">
      <c r="A54" s="0" t="s">
        <v>107</v>
      </c>
      <c r="B54" s="0" t="s">
        <v>108</v>
      </c>
      <c r="C54" s="0" t="s">
        <v>109</v>
      </c>
      <c r="D54" s="0" t="s">
        <v>100</v>
      </c>
      <c r="E54" s="0" t="n">
        <v>4000</v>
      </c>
      <c r="F54" s="0" t="s">
        <v>110</v>
      </c>
      <c r="G54" s="0" t="n">
        <v>1</v>
      </c>
      <c r="H54" s="0" t="s">
        <v>111</v>
      </c>
      <c r="I54" s="0" t="n">
        <v>1</v>
      </c>
      <c r="J54" s="0" t="n">
        <v>0.27</v>
      </c>
      <c r="K54" s="0" t="n">
        <v>-0.84</v>
      </c>
      <c r="L54" s="0" t="n">
        <v>0.84</v>
      </c>
      <c r="M54" s="0" t="n">
        <v>0.16</v>
      </c>
      <c r="N54" s="0" t="n">
        <v>0.06</v>
      </c>
      <c r="O54" s="0" t="n">
        <v>0.06</v>
      </c>
      <c r="P54" s="0" t="n">
        <v>0.04</v>
      </c>
      <c r="Q54" s="0" t="n">
        <v>0</v>
      </c>
      <c r="R54" s="0" t="n">
        <v>-0.03</v>
      </c>
      <c r="S54" s="0" t="n">
        <v>-0.03</v>
      </c>
      <c r="T54" s="0" t="n">
        <v>-0.02</v>
      </c>
      <c r="U54" s="0" t="n">
        <v>-0.02</v>
      </c>
      <c r="V54" s="0" t="n">
        <v>0.01</v>
      </c>
      <c r="W54" s="0" t="n">
        <v>0.04</v>
      </c>
      <c r="X54" s="0" t="n">
        <v>0.01</v>
      </c>
      <c r="Y54" s="0" t="n">
        <v>-0.02</v>
      </c>
      <c r="Z54" s="0" t="n">
        <v>0.01</v>
      </c>
      <c r="AA54" s="0" t="n">
        <v>0.02</v>
      </c>
      <c r="AB54" s="0" t="n">
        <v>-0.01</v>
      </c>
      <c r="AC54" s="0" t="n">
        <v>0.05</v>
      </c>
      <c r="AD54" s="0" t="n">
        <v>-0.01</v>
      </c>
      <c r="AE54" s="8" t="n">
        <f aca="false">IFERROR(AVERAGE(J54,M54,P54), "Fehler")</f>
        <v>0.156666666666667</v>
      </c>
      <c r="AF54" s="8" t="n">
        <f aca="false">IFERROR(AVERAGE(K54,N54,Q54), "Fehler")</f>
        <v>-0.26</v>
      </c>
      <c r="AG54" s="8" t="n">
        <f aca="false">IFERROR(AVERAGE(L54,O54,R54), "Fehler")</f>
        <v>0.29</v>
      </c>
      <c r="AH54" s="9" t="n">
        <f aca="false">IFERROR(AVERAGE(S54,V54,Y54), "Fehler")</f>
        <v>-0.0133333333333333</v>
      </c>
      <c r="AI54" s="9" t="n">
        <f aca="false">IFERROR(AVERAGE(T54,W54,Z54), "Fehler")</f>
        <v>0.01</v>
      </c>
      <c r="AJ54" s="9" t="n">
        <f aca="false">IFERROR(AVERAGE(U54,X54,AA54), "Fehler")</f>
        <v>0.00333333333333333</v>
      </c>
      <c r="AK54" s="10" t="n">
        <f aca="false">IFERROR(AVERAGE(AB54), "Fehler")</f>
        <v>-0.01</v>
      </c>
      <c r="AL54" s="10" t="n">
        <f aca="false">IFERROR(AVERAGE(AC54), "Fehler")</f>
        <v>0.05</v>
      </c>
      <c r="AM54" s="10" t="n">
        <f aca="false">IFERROR(AVERAGE(AD54), "Fehler")</f>
        <v>-0.01</v>
      </c>
      <c r="AN54" s="8" t="n">
        <f aca="false">SUMPRODUCT(                            ABS(AE54:AG54)) / COUNT(AE54:AG54)</f>
        <v>0.235555555555556</v>
      </c>
      <c r="AO54" s="9" t="n">
        <f aca="false">SUMPRODUCT(                            ABS(AH54:AJ54)) / COUNT(AH54:AJ54)</f>
        <v>0.00888888888888889</v>
      </c>
      <c r="AP54" s="10" t="n">
        <f aca="false">SUMPRODUCT(                            ABS(AK54:AM54)) / COUNT(AK54:AM54)</f>
        <v>0.0233333333333333</v>
      </c>
      <c r="AQ54" s="11" t="n">
        <f aca="false">SUMPRODUCT(ABS(AN54:AP54)) / COUNT(AN54:AP54)</f>
        <v>0.0892592592592593</v>
      </c>
      <c r="AR54" s="12" t="n">
        <f aca="false">(1-  AQ55/AQ54)*100</f>
        <v>100</v>
      </c>
    </row>
  </sheetData>
  <autoFilter ref="A1:AC2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2026-02-17T15:22:24Z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